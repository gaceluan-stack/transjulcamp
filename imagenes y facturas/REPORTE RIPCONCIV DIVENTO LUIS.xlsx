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suk\OneDrive\Escritorio\TRANSJULCAMP - JULIO CAMPOVERDE\Reportes de Clientes\"/>
    </mc:Choice>
  </mc:AlternateContent>
  <xr:revisionPtr revIDLastSave="0" documentId="8_{40A84715-D563-F443-A44F-C77D8153147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 1" sheetId="1" r:id="rId1"/>
  </sheets>
  <definedNames>
    <definedName name="_xlnm._FilterDatabase" localSheetId="0" hidden="1">'Table 1'!$A$2:$I$2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9" i="1" l="1"/>
  <c r="H198" i="1"/>
  <c r="H197" i="1"/>
  <c r="H196" i="1"/>
  <c r="H195" i="1"/>
  <c r="H194" i="1"/>
  <c r="H193" i="1"/>
  <c r="H192" i="1"/>
  <c r="H191" i="1"/>
  <c r="H189" i="1"/>
  <c r="H190" i="1"/>
  <c r="F336" i="1"/>
  <c r="F334" i="1"/>
  <c r="G333" i="1"/>
  <c r="G335" i="1"/>
  <c r="G336" i="1"/>
  <c r="F275" i="1"/>
  <c r="G274" i="1"/>
  <c r="F277" i="1"/>
  <c r="G276" i="1"/>
  <c r="G277" i="1"/>
  <c r="H188" i="1"/>
  <c r="H187" i="1"/>
  <c r="H186" i="1"/>
  <c r="H185" i="1"/>
  <c r="H176" i="1"/>
  <c r="H181" i="1"/>
  <c r="H184" i="1"/>
  <c r="H183" i="1"/>
  <c r="H182" i="1"/>
  <c r="H180" i="1"/>
  <c r="H179" i="1"/>
  <c r="H178" i="1"/>
  <c r="H177" i="1"/>
  <c r="H175" i="1"/>
  <c r="H174" i="1"/>
  <c r="G332" i="1"/>
  <c r="G273" i="1"/>
  <c r="H167" i="1"/>
  <c r="H173" i="1"/>
  <c r="H172" i="1"/>
  <c r="H171" i="1"/>
  <c r="H170" i="1"/>
  <c r="H169" i="1"/>
  <c r="H168" i="1"/>
  <c r="G272" i="1"/>
  <c r="G331" i="1"/>
  <c r="H166" i="1"/>
  <c r="H165" i="1"/>
  <c r="H164" i="1"/>
  <c r="H163" i="1"/>
  <c r="H162" i="1"/>
  <c r="H161" i="1"/>
  <c r="H160" i="1"/>
  <c r="H159" i="1"/>
  <c r="H158" i="1"/>
  <c r="H157" i="1"/>
  <c r="H156" i="1"/>
  <c r="H144" i="1"/>
  <c r="H120" i="1"/>
  <c r="H106" i="1"/>
  <c r="L103" i="1"/>
  <c r="H111" i="1"/>
  <c r="H94" i="1"/>
  <c r="G271" i="1"/>
  <c r="G270" i="1"/>
  <c r="G330" i="1"/>
  <c r="G329" i="1"/>
  <c r="L117" i="1"/>
  <c r="L118" i="1"/>
  <c r="M248" i="1"/>
  <c r="H155" i="1"/>
  <c r="H154" i="1"/>
  <c r="H153" i="1"/>
  <c r="H152" i="1"/>
  <c r="H151" i="1"/>
  <c r="H200" i="1"/>
  <c r="G328" i="1"/>
  <c r="G334" i="1"/>
  <c r="G269" i="1"/>
  <c r="G275" i="1"/>
  <c r="H149" i="1"/>
  <c r="H148" i="1"/>
  <c r="H147" i="1"/>
  <c r="H146" i="1"/>
  <c r="H145" i="1"/>
  <c r="F327" i="1"/>
  <c r="G326" i="1"/>
  <c r="F268" i="1"/>
  <c r="G267" i="1"/>
  <c r="H139" i="1"/>
  <c r="H138" i="1"/>
  <c r="H140" i="1"/>
  <c r="H141" i="1"/>
  <c r="H142" i="1"/>
  <c r="H143" i="1"/>
  <c r="G325" i="1"/>
  <c r="G266" i="1"/>
  <c r="H137" i="1"/>
  <c r="H136" i="1"/>
  <c r="H135" i="1"/>
  <c r="H134" i="1"/>
  <c r="G265" i="1"/>
  <c r="G324" i="1"/>
  <c r="H133" i="1"/>
  <c r="H132" i="1"/>
  <c r="H131" i="1"/>
  <c r="H130" i="1"/>
  <c r="H129" i="1"/>
  <c r="G264" i="1"/>
  <c r="G323" i="1"/>
  <c r="H128" i="1"/>
  <c r="H127" i="1"/>
  <c r="H126" i="1"/>
  <c r="H125" i="1"/>
  <c r="H124" i="1"/>
  <c r="G263" i="1"/>
  <c r="G322" i="1"/>
  <c r="G321" i="1"/>
  <c r="G262" i="1"/>
  <c r="G268" i="1"/>
  <c r="G327" i="1"/>
  <c r="H121" i="1"/>
  <c r="H123" i="1"/>
  <c r="H122" i="1"/>
  <c r="H119" i="1"/>
  <c r="H118" i="1"/>
  <c r="H116" i="1"/>
  <c r="H115" i="1"/>
  <c r="H114" i="1"/>
  <c r="H113" i="1"/>
  <c r="H110" i="1"/>
  <c r="H150" i="1"/>
  <c r="H112" i="1"/>
  <c r="F261" i="1"/>
  <c r="G260" i="1"/>
  <c r="F320" i="1"/>
  <c r="G319" i="1"/>
  <c r="H108" i="1"/>
  <c r="H105" i="1"/>
  <c r="H107" i="1"/>
  <c r="H109" i="1"/>
  <c r="G318" i="1"/>
  <c r="G259" i="1"/>
  <c r="H104" i="1"/>
  <c r="H103" i="1"/>
  <c r="H102" i="1"/>
  <c r="H101" i="1"/>
  <c r="H100" i="1"/>
  <c r="G317" i="1"/>
  <c r="G258" i="1"/>
  <c r="N85" i="1"/>
  <c r="H95" i="1"/>
  <c r="H96" i="1"/>
  <c r="H97" i="1"/>
  <c r="H98" i="1"/>
  <c r="H99" i="1"/>
  <c r="G257" i="1"/>
  <c r="G316" i="1"/>
  <c r="L85" i="1"/>
  <c r="M85" i="1"/>
  <c r="H90" i="1"/>
  <c r="H89" i="1"/>
  <c r="H91" i="1"/>
  <c r="H92" i="1"/>
  <c r="H93" i="1"/>
  <c r="G256" i="1"/>
  <c r="G315" i="1"/>
  <c r="H88" i="1"/>
  <c r="H87" i="1"/>
  <c r="H86" i="1"/>
  <c r="G314" i="1"/>
  <c r="F313" i="1"/>
  <c r="H327" i="1"/>
  <c r="I327" i="1"/>
  <c r="G255" i="1"/>
  <c r="H84" i="1"/>
  <c r="H83" i="1"/>
  <c r="H82" i="1"/>
  <c r="H81" i="1"/>
  <c r="G312" i="1"/>
  <c r="H117" i="1"/>
  <c r="G261" i="1"/>
  <c r="G320" i="1"/>
  <c r="F254" i="1"/>
  <c r="H268" i="1"/>
  <c r="I268" i="1"/>
  <c r="G253" i="1"/>
  <c r="H78" i="1"/>
  <c r="H80" i="1"/>
  <c r="H79" i="1"/>
  <c r="G311" i="1"/>
  <c r="G252" i="1"/>
  <c r="L63" i="1"/>
  <c r="M63" i="1"/>
  <c r="G310" i="1"/>
  <c r="G251" i="1"/>
  <c r="G250" i="1"/>
  <c r="H77" i="1"/>
  <c r="H76" i="1"/>
  <c r="H75" i="1"/>
  <c r="H74" i="1"/>
  <c r="H73" i="1"/>
  <c r="H72" i="1"/>
  <c r="G309" i="1"/>
  <c r="H71" i="1"/>
  <c r="H70" i="1"/>
  <c r="H69" i="1"/>
  <c r="H68" i="1"/>
  <c r="G308" i="1"/>
  <c r="G249" i="1"/>
  <c r="H67" i="1"/>
  <c r="H66" i="1"/>
  <c r="H65" i="1"/>
  <c r="H64" i="1"/>
  <c r="H85" i="1"/>
  <c r="G248" i="1"/>
  <c r="G254" i="1"/>
  <c r="G307" i="1"/>
  <c r="G313" i="1"/>
  <c r="L20" i="1"/>
  <c r="H60" i="1"/>
  <c r="H59" i="1"/>
  <c r="H61" i="1"/>
  <c r="H62" i="1"/>
  <c r="F247" i="1"/>
  <c r="G246" i="1"/>
  <c r="G305" i="1"/>
  <c r="H57" i="1"/>
  <c r="H58" i="1"/>
  <c r="H63" i="1"/>
  <c r="H53" i="1"/>
  <c r="H54" i="1"/>
  <c r="H55" i="1"/>
  <c r="H56" i="1"/>
  <c r="G245" i="1"/>
  <c r="F304" i="1"/>
  <c r="F306" i="1"/>
  <c r="H52" i="1"/>
  <c r="H51" i="1"/>
  <c r="G304" i="1"/>
  <c r="H50" i="1"/>
  <c r="G303" i="1"/>
  <c r="G244" i="1"/>
  <c r="H49" i="1"/>
  <c r="H48" i="1"/>
  <c r="H47" i="1"/>
  <c r="G302" i="1"/>
  <c r="G243" i="1"/>
  <c r="H46" i="1"/>
  <c r="H44" i="1"/>
  <c r="H45" i="1"/>
  <c r="G301" i="1"/>
  <c r="G242" i="1"/>
  <c r="G236" i="1"/>
  <c r="H43" i="1"/>
  <c r="H42" i="1"/>
  <c r="G300" i="1"/>
  <c r="G306" i="1"/>
  <c r="G241" i="1"/>
  <c r="G247" i="1"/>
  <c r="H40" i="1"/>
  <c r="F240" i="1"/>
  <c r="G239" i="1"/>
  <c r="F299" i="1"/>
  <c r="G298" i="1"/>
  <c r="G297" i="1"/>
  <c r="G238" i="1"/>
  <c r="H39" i="1"/>
  <c r="H38" i="1"/>
  <c r="H37" i="1"/>
  <c r="H36" i="1"/>
  <c r="G237" i="1"/>
  <c r="G296" i="1"/>
  <c r="H35" i="1"/>
  <c r="H34" i="1"/>
  <c r="H33" i="1"/>
  <c r="H32" i="1"/>
  <c r="H31" i="1"/>
  <c r="H30" i="1"/>
  <c r="H29" i="1"/>
  <c r="H28" i="1"/>
  <c r="H27" i="1"/>
  <c r="H26" i="1"/>
  <c r="H25" i="1"/>
  <c r="H24" i="1"/>
  <c r="G235" i="1"/>
  <c r="G295" i="1"/>
  <c r="G294" i="1"/>
  <c r="H22" i="1"/>
  <c r="H21" i="1"/>
  <c r="H23" i="1"/>
  <c r="H41" i="1"/>
  <c r="K41" i="1"/>
  <c r="L41" i="1"/>
  <c r="G293" i="1"/>
  <c r="G299" i="1"/>
  <c r="H299" i="1"/>
  <c r="G234" i="1"/>
  <c r="G240" i="1"/>
  <c r="H240" i="1"/>
  <c r="H15" i="1"/>
  <c r="H14" i="1"/>
  <c r="H16" i="1"/>
  <c r="H18" i="1"/>
  <c r="H17" i="1"/>
  <c r="H19" i="1"/>
  <c r="F292" i="1"/>
  <c r="G291" i="1"/>
  <c r="G290" i="1"/>
  <c r="F233" i="1"/>
  <c r="G232" i="1"/>
  <c r="G231" i="1"/>
  <c r="H13" i="1"/>
  <c r="H12" i="1"/>
  <c r="G289" i="1"/>
  <c r="G230" i="1"/>
  <c r="H11" i="1"/>
  <c r="H10" i="1"/>
  <c r="G229" i="1"/>
  <c r="G288" i="1"/>
  <c r="G287" i="1"/>
  <c r="G286" i="1"/>
  <c r="G228" i="1"/>
  <c r="H9" i="1"/>
  <c r="G227" i="1"/>
  <c r="G225" i="1"/>
  <c r="G224" i="1"/>
  <c r="F226" i="1"/>
  <c r="H8" i="1"/>
  <c r="H7" i="1"/>
  <c r="H5" i="1"/>
  <c r="H6" i="1"/>
  <c r="G211" i="1"/>
  <c r="G212" i="1"/>
  <c r="G214" i="1"/>
  <c r="F212" i="1"/>
  <c r="H20" i="1"/>
  <c r="G233" i="1"/>
  <c r="G292" i="1"/>
  <c r="G337" i="1"/>
  <c r="G226" i="1"/>
  <c r="G278" i="1"/>
  <c r="H3" i="1"/>
  <c r="H233" i="1"/>
  <c r="H292" i="1"/>
  <c r="H4" i="1"/>
  <c r="G217" i="1"/>
</calcChain>
</file>

<file path=xl/sharedStrings.xml><?xml version="1.0" encoding="utf-8"?>
<sst xmlns="http://schemas.openxmlformats.org/spreadsheetml/2006/main" count="1070" uniqueCount="81">
  <si>
    <r>
      <rPr>
        <b/>
        <sz val="9"/>
        <color rgb="FFFFFFFF"/>
        <rFont val="Tahoma"/>
        <family val="2"/>
      </rPr>
      <t>FECHA</t>
    </r>
  </si>
  <si>
    <r>
      <rPr>
        <b/>
        <sz val="9"/>
        <color rgb="FFFFFFFF"/>
        <rFont val="Tahoma"/>
        <family val="2"/>
      </rPr>
      <t>GUIA</t>
    </r>
  </si>
  <si>
    <r>
      <rPr>
        <b/>
        <sz val="9"/>
        <color rgb="FFFFFFFF"/>
        <rFont val="Tahoma"/>
        <family val="2"/>
      </rPr>
      <t>PLACA</t>
    </r>
  </si>
  <si>
    <r>
      <rPr>
        <b/>
        <sz val="9"/>
        <color rgb="FFFFFFFF"/>
        <rFont val="Tahoma"/>
        <family val="2"/>
      </rPr>
      <t>UNI.</t>
    </r>
  </si>
  <si>
    <r>
      <rPr>
        <b/>
        <sz val="9"/>
        <color rgb="FFFFFFFF"/>
        <rFont val="Tahoma"/>
        <family val="2"/>
      </rPr>
      <t>PRECIO</t>
    </r>
  </si>
  <si>
    <r>
      <rPr>
        <b/>
        <sz val="9"/>
        <color rgb="FFFFFFFF"/>
        <rFont val="Tahoma"/>
        <family val="2"/>
      </rPr>
      <t>TOTAL</t>
    </r>
  </si>
  <si>
    <t>MATERIAL/DESCRIPCION</t>
  </si>
  <si>
    <t>TOTAL</t>
  </si>
  <si>
    <t>UBK0514</t>
  </si>
  <si>
    <t>ALQUILER POR DIA</t>
  </si>
  <si>
    <t>DIA</t>
  </si>
  <si>
    <t>TRANSPORTE</t>
  </si>
  <si>
    <t>CANTIDAD</t>
  </si>
  <si>
    <t>Semana 30 Marzo al 05 Abril</t>
  </si>
  <si>
    <t>REPORTES DI VENTO</t>
  </si>
  <si>
    <t>OBRA:</t>
  </si>
  <si>
    <t>DIVENTO</t>
  </si>
  <si>
    <t>PERIODO:</t>
  </si>
  <si>
    <t>Al 6 de Abril del 2026</t>
  </si>
  <si>
    <t>EQUIPO:</t>
  </si>
  <si>
    <t>EXCAVADORA HYUNDAI 215L #1</t>
  </si>
  <si>
    <t>P.V.P.:</t>
  </si>
  <si>
    <t>HORA</t>
  </si>
  <si>
    <t>FECHA</t>
  </si>
  <si>
    <t>GUIA</t>
  </si>
  <si>
    <t>OPERADOR</t>
  </si>
  <si>
    <t>UNI.</t>
  </si>
  <si>
    <t>VENTA</t>
  </si>
  <si>
    <t>LUNES</t>
  </si>
  <si>
    <t>VICTOR</t>
  </si>
  <si>
    <t>CAMA BAJA</t>
  </si>
  <si>
    <t>TOTAL GENERAL</t>
  </si>
  <si>
    <t>FACT</t>
  </si>
  <si>
    <t>ABA6883</t>
  </si>
  <si>
    <t>M3</t>
  </si>
  <si>
    <t>ARENA GRUESA</t>
  </si>
  <si>
    <t>Semana 04 al 10 Mayo</t>
  </si>
  <si>
    <t>Semana 11 al 17 Mayo</t>
  </si>
  <si>
    <t>REPORTE DE HORAS</t>
  </si>
  <si>
    <t>TRANSJULCAMP S.A.</t>
  </si>
  <si>
    <t>RETROEXCAVADORA CASE #1</t>
  </si>
  <si>
    <t>MIERCOLES</t>
  </si>
  <si>
    <t>ISAAC</t>
  </si>
  <si>
    <t>JUAN</t>
  </si>
  <si>
    <t>ROBERTO</t>
  </si>
  <si>
    <t>MARTES</t>
  </si>
  <si>
    <t>MIÉRCOLES</t>
  </si>
  <si>
    <t>DARIO</t>
  </si>
  <si>
    <t>PAC3291</t>
  </si>
  <si>
    <t>TRANSPORTE EN MULA</t>
  </si>
  <si>
    <t>PBL3806</t>
  </si>
  <si>
    <t>JUEVES</t>
  </si>
  <si>
    <t>VIERNES</t>
  </si>
  <si>
    <t>SÁBADO</t>
  </si>
  <si>
    <t>GSI3442</t>
  </si>
  <si>
    <t>PDB7763</t>
  </si>
  <si>
    <t>Semana 18 al 24 Mayo</t>
  </si>
  <si>
    <t>FACTURADO</t>
  </si>
  <si>
    <t>XBP0719</t>
  </si>
  <si>
    <t>GBN8921</t>
  </si>
  <si>
    <t>GQY0410</t>
  </si>
  <si>
    <t>GSS5508</t>
  </si>
  <si>
    <t>NO LABORO</t>
  </si>
  <si>
    <t>Semana 25 al 31 Mayo</t>
  </si>
  <si>
    <t>VAA1178</t>
  </si>
  <si>
    <t>ZAA2395</t>
  </si>
  <si>
    <t>4555 - 45556</t>
  </si>
  <si>
    <t>UCA0437</t>
  </si>
  <si>
    <t>Semana 01 al 07 Junio</t>
  </si>
  <si>
    <t>UAA1178</t>
  </si>
  <si>
    <t>Semana 08 al 14 Junio</t>
  </si>
  <si>
    <t>Semana 15 al 21 Junio</t>
  </si>
  <si>
    <t>IAI0281</t>
  </si>
  <si>
    <t>CARLOS</t>
  </si>
  <si>
    <t>GSI3413</t>
  </si>
  <si>
    <t>ARENA FINA</t>
  </si>
  <si>
    <t>ISRAEL</t>
  </si>
  <si>
    <t>GRD0900</t>
  </si>
  <si>
    <t>Al 29 de Junio del 2026</t>
  </si>
  <si>
    <t>NO SUBIO</t>
  </si>
  <si>
    <t>Semana 22 al 29 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</si>
</sst>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;@"/>
    <numFmt numFmtId="165" formatCode="dd/mm/yyyy;@"/>
    <numFmt numFmtId="166" formatCode="[$$-300A]#,##0.00"/>
  </numFmts>
  <fonts count="18" x14ac:knownFonts="1">
    <font>
      <sz val="10"/>
      <color rgb="FF000000"/>
      <name val="Times New Roman"/>
      <charset val="204"/>
    </font>
    <font>
      <sz val="9"/>
      <color rgb="FF000000"/>
      <name val="Tahoma"/>
      <family val="2"/>
    </font>
    <font>
      <b/>
      <sz val="16"/>
      <name val="Trebuchet MS"/>
    </font>
    <font>
      <b/>
      <sz val="9"/>
      <name val="Tahoma"/>
    </font>
    <font>
      <sz val="9"/>
      <name val="Tahoma"/>
    </font>
    <font>
      <b/>
      <sz val="11"/>
      <color rgb="FFFFFFFF"/>
      <name val="Tahoma"/>
      <family val="2"/>
    </font>
    <font>
      <b/>
      <sz val="16"/>
      <name val="Trebuchet MS"/>
      <family val="2"/>
    </font>
    <font>
      <b/>
      <sz val="9"/>
      <color rgb="FFFFFFFF"/>
      <name val="Tahoma"/>
      <family val="2"/>
    </font>
    <font>
      <sz val="9"/>
      <name val="Tahoma"/>
      <family val="2"/>
    </font>
    <font>
      <b/>
      <sz val="10"/>
      <color rgb="FF000000"/>
      <name val="Tahoma"/>
      <family val="2"/>
    </font>
    <font>
      <b/>
      <sz val="11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1"/>
      <color rgb="FF00B0F0"/>
      <name val="Calibri"/>
      <family val="2"/>
      <scheme val="minor"/>
    </font>
    <font>
      <b/>
      <sz val="9"/>
      <color theme="1"/>
      <name val="Tahoma"/>
      <family val="2"/>
    </font>
    <font>
      <sz val="9"/>
      <color theme="1"/>
      <name val="Tahoma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Tahoma"/>
      <family val="2"/>
    </font>
    <font>
      <sz val="8"/>
      <name val="Times New Roman"/>
      <charset val="204"/>
    </font>
  </fonts>
  <fills count="8">
    <fill>
      <patternFill patternType="none"/>
    </fill>
    <fill>
      <patternFill patternType="gray125"/>
    </fill>
    <fill>
      <patternFill patternType="solid">
        <fgColor rgb="FF00AFEF"/>
      </patternFill>
    </fill>
    <fill>
      <patternFill patternType="solid">
        <fgColor rgb="FFA02A93"/>
      </patternFill>
    </fill>
    <fill>
      <patternFill patternType="solid">
        <fgColor theme="8"/>
        <bgColor theme="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 applyFill="1" applyBorder="1" applyAlignment="1">
      <alignment horizontal="left" vertical="top"/>
    </xf>
    <xf numFmtId="0" fontId="3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 indent="2"/>
    </xf>
    <xf numFmtId="0" fontId="3" fillId="3" borderId="1" xfId="0" applyFont="1" applyFill="1" applyBorder="1" applyAlignment="1">
      <alignment horizontal="left" vertical="top" wrapText="1" indent="3"/>
    </xf>
    <xf numFmtId="0" fontId="0" fillId="0" borderId="1" xfId="0" applyFill="1" applyBorder="1" applyAlignment="1">
      <alignment horizontal="left" wrapText="1"/>
    </xf>
    <xf numFmtId="4" fontId="5" fillId="2" borderId="1" xfId="0" applyNumberFormat="1" applyFont="1" applyFill="1" applyBorder="1" applyAlignment="1">
      <alignment horizontal="right" vertical="top" shrinkToFit="1"/>
    </xf>
    <xf numFmtId="0" fontId="5" fillId="2" borderId="1" xfId="0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top" wrapText="1"/>
    </xf>
    <xf numFmtId="2" fontId="1" fillId="0" borderId="1" xfId="0" applyNumberFormat="1" applyFont="1" applyFill="1" applyBorder="1" applyAlignment="1">
      <alignment horizontal="right" vertical="top" shrinkToFit="1"/>
    </xf>
    <xf numFmtId="0" fontId="7" fillId="3" borderId="1" xfId="0" applyFont="1" applyFill="1" applyBorder="1" applyAlignment="1">
      <alignment horizontal="center" vertical="top" wrapText="1"/>
    </xf>
    <xf numFmtId="2" fontId="9" fillId="0" borderId="1" xfId="0" applyNumberFormat="1" applyFont="1" applyFill="1" applyBorder="1" applyAlignment="1">
      <alignment horizontal="right" wrapText="1"/>
    </xf>
    <xf numFmtId="0" fontId="9" fillId="0" borderId="1" xfId="0" applyFont="1" applyFill="1" applyBorder="1" applyAlignment="1">
      <alignment horizontal="right" wrapText="1"/>
    </xf>
    <xf numFmtId="164" fontId="1" fillId="0" borderId="2" xfId="0" applyNumberFormat="1" applyFont="1" applyFill="1" applyBorder="1" applyAlignment="1">
      <alignment horizontal="center" vertical="top" shrinkToFit="1"/>
    </xf>
    <xf numFmtId="1" fontId="1" fillId="0" borderId="2" xfId="0" applyNumberFormat="1" applyFont="1" applyFill="1" applyBorder="1" applyAlignment="1">
      <alignment horizontal="center" vertical="top" shrinkToFit="1"/>
    </xf>
    <xf numFmtId="0" fontId="3" fillId="3" borderId="2" xfId="0" applyFont="1" applyFill="1" applyBorder="1" applyAlignment="1">
      <alignment horizontal="center" vertical="top" wrapText="1"/>
    </xf>
    <xf numFmtId="0" fontId="10" fillId="0" borderId="0" xfId="0" applyFont="1"/>
    <xf numFmtId="0" fontId="11" fillId="0" borderId="0" xfId="0" applyFont="1"/>
    <xf numFmtId="0" fontId="0" fillId="0" borderId="0" xfId="0"/>
    <xf numFmtId="0" fontId="12" fillId="0" borderId="0" xfId="0" applyFont="1"/>
    <xf numFmtId="4" fontId="10" fillId="0" borderId="0" xfId="0" applyNumberFormat="1" applyFont="1" applyAlignment="1">
      <alignment horizontal="right"/>
    </xf>
    <xf numFmtId="4" fontId="11" fillId="0" borderId="0" xfId="0" applyNumberFormat="1" applyFont="1"/>
    <xf numFmtId="4" fontId="0" fillId="0" borderId="0" xfId="0" applyNumberFormat="1"/>
    <xf numFmtId="0" fontId="13" fillId="4" borderId="3" xfId="0" applyFont="1" applyFill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top" shrinkToFit="1"/>
    </xf>
    <xf numFmtId="0" fontId="14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/>
    </xf>
    <xf numFmtId="4" fontId="14" fillId="0" borderId="3" xfId="0" applyNumberFormat="1" applyFont="1" applyBorder="1"/>
    <xf numFmtId="0" fontId="8" fillId="0" borderId="1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right" vertical="top" wrapText="1" indent="2"/>
    </xf>
    <xf numFmtId="4" fontId="5" fillId="2" borderId="2" xfId="0" applyNumberFormat="1" applyFont="1" applyFill="1" applyBorder="1" applyAlignment="1">
      <alignment horizontal="right" vertical="top" shrinkToFit="1"/>
    </xf>
    <xf numFmtId="0" fontId="0" fillId="0" borderId="0" xfId="0" applyAlignment="1">
      <alignment horizontal="left" vertical="top"/>
    </xf>
    <xf numFmtId="2" fontId="0" fillId="0" borderId="0" xfId="0" applyNumberFormat="1" applyAlignment="1">
      <alignment horizontal="right" vertical="top"/>
    </xf>
    <xf numFmtId="0" fontId="14" fillId="6" borderId="3" xfId="0" applyFont="1" applyFill="1" applyBorder="1" applyAlignment="1">
      <alignment horizontal="left" vertical="top"/>
    </xf>
    <xf numFmtId="0" fontId="16" fillId="6" borderId="3" xfId="0" applyFont="1" applyFill="1" applyBorder="1" applyAlignment="1">
      <alignment horizontal="left" vertical="top"/>
    </xf>
    <xf numFmtId="2" fontId="16" fillId="6" borderId="3" xfId="0" applyNumberFormat="1" applyFont="1" applyFill="1" applyBorder="1" applyAlignment="1">
      <alignment horizontal="right" vertical="top"/>
    </xf>
    <xf numFmtId="166" fontId="16" fillId="6" borderId="3" xfId="0" applyNumberFormat="1" applyFont="1" applyFill="1" applyBorder="1" applyAlignment="1">
      <alignment horizontal="right"/>
    </xf>
    <xf numFmtId="0" fontId="14" fillId="7" borderId="3" xfId="0" applyFont="1" applyFill="1" applyBorder="1" applyAlignment="1">
      <alignment horizontal="center" vertical="center"/>
    </xf>
    <xf numFmtId="1" fontId="1" fillId="7" borderId="2" xfId="0" applyNumberFormat="1" applyFont="1" applyFill="1" applyBorder="1" applyAlignment="1">
      <alignment horizontal="center" vertical="top" shrinkToFit="1"/>
    </xf>
    <xf numFmtId="4" fontId="0" fillId="0" borderId="0" xfId="0" applyNumberFormat="1" applyAlignment="1">
      <alignment horizontal="left" vertical="top"/>
    </xf>
    <xf numFmtId="4" fontId="0" fillId="0" borderId="0" xfId="0" applyNumberFormat="1" applyFill="1" applyBorder="1" applyAlignment="1">
      <alignment horizontal="left" vertical="top"/>
    </xf>
    <xf numFmtId="0" fontId="14" fillId="0" borderId="3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top" shrinkToFit="1"/>
    </xf>
    <xf numFmtId="1" fontId="1" fillId="0" borderId="0" xfId="0" applyNumberFormat="1" applyFont="1" applyFill="1" applyBorder="1" applyAlignment="1">
      <alignment horizontal="center" vertical="top" shrinkToFit="1"/>
    </xf>
    <xf numFmtId="0" fontId="8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right" wrapText="1"/>
    </xf>
    <xf numFmtId="2" fontId="9" fillId="0" borderId="0" xfId="0" applyNumberFormat="1" applyFont="1" applyFill="1" applyBorder="1" applyAlignment="1">
      <alignment horizontal="right" wrapText="1"/>
    </xf>
    <xf numFmtId="0" fontId="0" fillId="0" borderId="0" xfId="0" applyFill="1" applyBorder="1" applyAlignment="1">
      <alignment horizontal="left" wrapText="1"/>
    </xf>
    <xf numFmtId="4" fontId="5" fillId="0" borderId="0" xfId="0" applyNumberFormat="1" applyFont="1" applyFill="1" applyBorder="1" applyAlignment="1">
      <alignment horizontal="right" vertical="top" shrinkToFit="1"/>
    </xf>
    <xf numFmtId="0" fontId="5" fillId="0" borderId="0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center" vertical="top" wrapText="1"/>
    </xf>
    <xf numFmtId="0" fontId="0" fillId="7" borderId="0" xfId="0" applyFill="1" applyBorder="1" applyAlignment="1">
      <alignment horizontal="left" vertical="top"/>
    </xf>
    <xf numFmtId="2" fontId="0" fillId="0" borderId="0" xfId="0" applyNumberFormat="1" applyFill="1" applyBorder="1" applyAlignment="1">
      <alignment horizontal="left" vertical="top"/>
    </xf>
    <xf numFmtId="4" fontId="5" fillId="2" borderId="7" xfId="0" applyNumberFormat="1" applyFont="1" applyFill="1" applyBorder="1" applyAlignment="1">
      <alignment horizontal="right" vertical="top" shrinkToFit="1"/>
    </xf>
    <xf numFmtId="0" fontId="15" fillId="0" borderId="0" xfId="0" applyFont="1" applyAlignment="1">
      <alignment horizontal="left"/>
    </xf>
    <xf numFmtId="0" fontId="15" fillId="5" borderId="4" xfId="0" applyFont="1" applyFill="1" applyBorder="1" applyAlignment="1">
      <alignment horizontal="center"/>
    </xf>
    <xf numFmtId="0" fontId="15" fillId="5" borderId="5" xfId="0" applyFont="1" applyFill="1" applyBorder="1" applyAlignment="1">
      <alignment horizontal="center"/>
    </xf>
    <xf numFmtId="0" fontId="15" fillId="5" borderId="6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left" vertical="top" wrapText="1" indent="1"/>
    </xf>
    <xf numFmtId="0" fontId="2" fillId="0" borderId="0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37"/>
  <sheetViews>
    <sheetView tabSelected="1" workbookViewId="0">
      <selection activeCell="D19" sqref="D19"/>
    </sheetView>
  </sheetViews>
  <sheetFormatPr defaultColWidth="9.296875" defaultRowHeight="13.5" x14ac:dyDescent="0.15"/>
  <cols>
    <col min="1" max="1" width="14.84765625" customWidth="1"/>
    <col min="2" max="2" width="10.046875" customWidth="1"/>
    <col min="3" max="3" width="15.1484375" customWidth="1"/>
    <col min="4" max="4" width="16.6484375" bestFit="1" customWidth="1"/>
    <col min="5" max="5" width="13.046875" customWidth="1"/>
    <col min="6" max="6" width="15.59765625" customWidth="1"/>
    <col min="7" max="7" width="14.84765625" customWidth="1"/>
    <col min="8" max="8" width="16.796875" customWidth="1"/>
    <col min="9" max="9" width="35.3984375" customWidth="1"/>
    <col min="10" max="10" width="4.046875" bestFit="1" customWidth="1"/>
  </cols>
  <sheetData>
    <row r="1" spans="1:11" ht="21" x14ac:dyDescent="0.15">
      <c r="A1" s="58" t="s">
        <v>14</v>
      </c>
      <c r="B1" s="59"/>
      <c r="C1" s="59"/>
      <c r="D1" s="59"/>
      <c r="E1" s="59"/>
      <c r="F1" s="59"/>
      <c r="G1" s="59"/>
      <c r="H1" s="59"/>
      <c r="I1" s="59"/>
      <c r="J1" s="59"/>
    </row>
    <row r="2" spans="1:11" ht="22.5" x14ac:dyDescent="0.1">
      <c r="A2" s="15" t="s">
        <v>0</v>
      </c>
      <c r="B2" s="15" t="s">
        <v>1</v>
      </c>
      <c r="C2" s="1" t="s">
        <v>2</v>
      </c>
      <c r="D2" s="1" t="s">
        <v>3</v>
      </c>
      <c r="E2" s="10" t="s">
        <v>12</v>
      </c>
      <c r="F2" s="10" t="s">
        <v>11</v>
      </c>
      <c r="G2" s="2" t="s">
        <v>4</v>
      </c>
      <c r="H2" s="3" t="s">
        <v>5</v>
      </c>
      <c r="I2" s="10" t="s">
        <v>6</v>
      </c>
    </row>
    <row r="3" spans="1:11" x14ac:dyDescent="0.1">
      <c r="A3" s="13">
        <v>46113</v>
      </c>
      <c r="B3" s="14">
        <v>3492</v>
      </c>
      <c r="C3" s="8" t="s">
        <v>8</v>
      </c>
      <c r="D3" s="7" t="s">
        <v>10</v>
      </c>
      <c r="E3" s="9">
        <v>1</v>
      </c>
      <c r="F3" s="9">
        <v>0</v>
      </c>
      <c r="G3" s="9">
        <v>280</v>
      </c>
      <c r="H3" s="9">
        <f t="shared" ref="H3" si="0">+(F3+G3)*E3</f>
        <v>280</v>
      </c>
      <c r="I3" s="8" t="s">
        <v>9</v>
      </c>
      <c r="J3" t="s">
        <v>32</v>
      </c>
    </row>
    <row r="4" spans="1:11" ht="14.25" x14ac:dyDescent="0.15">
      <c r="A4" s="13"/>
      <c r="B4" s="14"/>
      <c r="C4" s="7"/>
      <c r="D4" s="12" t="s">
        <v>7</v>
      </c>
      <c r="E4" s="11"/>
      <c r="F4" s="4"/>
      <c r="G4" s="4"/>
      <c r="H4" s="5">
        <f>SUM(H3:H3)</f>
        <v>280</v>
      </c>
      <c r="I4" s="6" t="s">
        <v>13</v>
      </c>
    </row>
    <row r="5" spans="1:11" x14ac:dyDescent="0.1">
      <c r="A5" s="13">
        <v>46147</v>
      </c>
      <c r="B5" s="14">
        <v>35053</v>
      </c>
      <c r="C5" s="8" t="s">
        <v>33</v>
      </c>
      <c r="D5" s="7" t="s">
        <v>34</v>
      </c>
      <c r="E5" s="9">
        <v>14</v>
      </c>
      <c r="F5" s="9">
        <v>0</v>
      </c>
      <c r="G5" s="9">
        <v>14.5</v>
      </c>
      <c r="H5" s="9">
        <f t="shared" ref="H5" si="1">+(F5+G5)*E5</f>
        <v>203</v>
      </c>
      <c r="I5" s="8" t="s">
        <v>35</v>
      </c>
      <c r="K5" t="s">
        <v>57</v>
      </c>
    </row>
    <row r="6" spans="1:11" ht="14.25" x14ac:dyDescent="0.15">
      <c r="A6" s="13"/>
      <c r="B6" s="14"/>
      <c r="C6" s="7"/>
      <c r="D6" s="12" t="s">
        <v>7</v>
      </c>
      <c r="E6" s="11"/>
      <c r="F6" s="4"/>
      <c r="G6" s="4"/>
      <c r="H6" s="5">
        <f>SUM(H5:H5)</f>
        <v>203</v>
      </c>
      <c r="I6" s="6" t="s">
        <v>36</v>
      </c>
    </row>
    <row r="7" spans="1:11" x14ac:dyDescent="0.1">
      <c r="A7" s="13">
        <v>46153</v>
      </c>
      <c r="B7" s="14">
        <v>35604</v>
      </c>
      <c r="C7" s="8" t="s">
        <v>33</v>
      </c>
      <c r="D7" s="7" t="s">
        <v>34</v>
      </c>
      <c r="E7" s="9">
        <v>14</v>
      </c>
      <c r="F7" s="9">
        <v>0</v>
      </c>
      <c r="G7" s="9">
        <v>14.5</v>
      </c>
      <c r="H7" s="9">
        <f t="shared" ref="H7" si="2">+(F7+G7)*E7</f>
        <v>203</v>
      </c>
      <c r="I7" s="8" t="s">
        <v>35</v>
      </c>
      <c r="K7" t="s">
        <v>57</v>
      </c>
    </row>
    <row r="8" spans="1:11" x14ac:dyDescent="0.1">
      <c r="A8" s="13">
        <v>46153</v>
      </c>
      <c r="B8" s="14">
        <v>35605</v>
      </c>
      <c r="C8" s="8" t="s">
        <v>33</v>
      </c>
      <c r="D8" s="7" t="s">
        <v>34</v>
      </c>
      <c r="E8" s="9">
        <v>14</v>
      </c>
      <c r="F8" s="9">
        <v>0</v>
      </c>
      <c r="G8" s="9">
        <v>14.5</v>
      </c>
      <c r="H8" s="9">
        <f t="shared" ref="H8" si="3">+(F8+G8)*E8</f>
        <v>203</v>
      </c>
      <c r="I8" s="8" t="s">
        <v>35</v>
      </c>
      <c r="K8" t="s">
        <v>57</v>
      </c>
    </row>
    <row r="9" spans="1:11" x14ac:dyDescent="0.1">
      <c r="A9" s="13">
        <v>46153</v>
      </c>
      <c r="B9" s="14">
        <v>35606</v>
      </c>
      <c r="C9" s="8" t="s">
        <v>33</v>
      </c>
      <c r="D9" s="7" t="s">
        <v>34</v>
      </c>
      <c r="E9" s="9">
        <v>14</v>
      </c>
      <c r="F9" s="9">
        <v>0</v>
      </c>
      <c r="G9" s="9">
        <v>14.5</v>
      </c>
      <c r="H9" s="9">
        <f t="shared" ref="H9:H10" si="4">+(F9+G9)*E9</f>
        <v>203</v>
      </c>
      <c r="I9" s="8" t="s">
        <v>35</v>
      </c>
      <c r="K9" t="s">
        <v>57</v>
      </c>
    </row>
    <row r="10" spans="1:11" x14ac:dyDescent="0.1">
      <c r="A10" s="13">
        <v>46155</v>
      </c>
      <c r="B10" s="38">
        <v>3727</v>
      </c>
      <c r="C10" s="8" t="s">
        <v>48</v>
      </c>
      <c r="D10" s="7" t="s">
        <v>10</v>
      </c>
      <c r="E10" s="9">
        <v>1</v>
      </c>
      <c r="F10" s="9">
        <v>280</v>
      </c>
      <c r="G10" s="9">
        <v>0</v>
      </c>
      <c r="H10" s="9">
        <f t="shared" si="4"/>
        <v>280</v>
      </c>
      <c r="I10" s="8" t="s">
        <v>49</v>
      </c>
      <c r="K10" t="s">
        <v>57</v>
      </c>
    </row>
    <row r="11" spans="1:11" x14ac:dyDescent="0.1">
      <c r="A11" s="13">
        <v>46155</v>
      </c>
      <c r="B11" s="38">
        <v>4350</v>
      </c>
      <c r="C11" s="8" t="s">
        <v>50</v>
      </c>
      <c r="D11" s="7" t="s">
        <v>10</v>
      </c>
      <c r="E11" s="9">
        <v>1</v>
      </c>
      <c r="F11" s="9">
        <v>280</v>
      </c>
      <c r="G11" s="9">
        <v>0</v>
      </c>
      <c r="H11" s="9">
        <f t="shared" ref="H11:H12" si="5">+(F11+G11)*E11</f>
        <v>280</v>
      </c>
      <c r="I11" s="8" t="s">
        <v>49</v>
      </c>
      <c r="K11" t="s">
        <v>57</v>
      </c>
    </row>
    <row r="12" spans="1:11" x14ac:dyDescent="0.1">
      <c r="A12" s="13">
        <v>46156</v>
      </c>
      <c r="B12" s="38">
        <v>4440</v>
      </c>
      <c r="C12" s="8" t="s">
        <v>48</v>
      </c>
      <c r="D12" s="7" t="s">
        <v>10</v>
      </c>
      <c r="E12" s="9">
        <v>0.88</v>
      </c>
      <c r="F12" s="9">
        <v>280</v>
      </c>
      <c r="G12" s="9">
        <v>0</v>
      </c>
      <c r="H12" s="9">
        <f t="shared" si="5"/>
        <v>246.4</v>
      </c>
      <c r="I12" s="8" t="s">
        <v>49</v>
      </c>
      <c r="K12" t="s">
        <v>57</v>
      </c>
    </row>
    <row r="13" spans="1:11" x14ac:dyDescent="0.1">
      <c r="A13" s="13">
        <v>46156</v>
      </c>
      <c r="B13" s="38">
        <v>4351</v>
      </c>
      <c r="C13" s="8" t="s">
        <v>50</v>
      </c>
      <c r="D13" s="7" t="s">
        <v>10</v>
      </c>
      <c r="E13" s="9">
        <v>1</v>
      </c>
      <c r="F13" s="9">
        <v>280</v>
      </c>
      <c r="G13" s="9">
        <v>0</v>
      </c>
      <c r="H13" s="9">
        <f t="shared" ref="H13:H17" si="6">+(F13+G13)*E13</f>
        <v>280</v>
      </c>
      <c r="I13" s="8" t="s">
        <v>49</v>
      </c>
      <c r="K13" t="s">
        <v>57</v>
      </c>
    </row>
    <row r="14" spans="1:11" x14ac:dyDescent="0.1">
      <c r="A14" s="13">
        <v>46157</v>
      </c>
      <c r="B14" s="14">
        <v>35624</v>
      </c>
      <c r="C14" s="8" t="s">
        <v>33</v>
      </c>
      <c r="D14" s="7" t="s">
        <v>34</v>
      </c>
      <c r="E14" s="9">
        <v>14</v>
      </c>
      <c r="F14" s="9">
        <v>0</v>
      </c>
      <c r="G14" s="9">
        <v>14.5</v>
      </c>
      <c r="H14" s="9">
        <f t="shared" si="6"/>
        <v>203</v>
      </c>
      <c r="I14" s="8" t="s">
        <v>35</v>
      </c>
      <c r="K14" t="s">
        <v>57</v>
      </c>
    </row>
    <row r="15" spans="1:11" x14ac:dyDescent="0.1">
      <c r="A15" s="13">
        <v>46157</v>
      </c>
      <c r="B15" s="14">
        <v>35627</v>
      </c>
      <c r="C15" s="8" t="s">
        <v>33</v>
      </c>
      <c r="D15" s="7" t="s">
        <v>34</v>
      </c>
      <c r="E15" s="9">
        <v>14</v>
      </c>
      <c r="F15" s="9">
        <v>0</v>
      </c>
      <c r="G15" s="9">
        <v>14.5</v>
      </c>
      <c r="H15" s="9">
        <f t="shared" ref="H15" si="7">+(F15+G15)*E15</f>
        <v>203</v>
      </c>
      <c r="I15" s="8" t="s">
        <v>35</v>
      </c>
      <c r="K15" t="s">
        <v>57</v>
      </c>
    </row>
    <row r="16" spans="1:11" x14ac:dyDescent="0.1">
      <c r="A16" s="13">
        <v>46157</v>
      </c>
      <c r="B16" s="38">
        <v>4443</v>
      </c>
      <c r="C16" s="8" t="s">
        <v>48</v>
      </c>
      <c r="D16" s="7" t="s">
        <v>10</v>
      </c>
      <c r="E16" s="9">
        <v>1</v>
      </c>
      <c r="F16" s="9">
        <v>280</v>
      </c>
      <c r="G16" s="9">
        <v>0</v>
      </c>
      <c r="H16" s="9">
        <f t="shared" ref="H16" si="8">+(F16+G16)*E16</f>
        <v>280</v>
      </c>
      <c r="I16" s="8" t="s">
        <v>49</v>
      </c>
      <c r="K16" t="s">
        <v>57</v>
      </c>
    </row>
    <row r="17" spans="1:12" x14ac:dyDescent="0.1">
      <c r="A17" s="13">
        <v>46158</v>
      </c>
      <c r="B17" s="38">
        <v>3728</v>
      </c>
      <c r="C17" s="8" t="s">
        <v>48</v>
      </c>
      <c r="D17" s="7" t="s">
        <v>10</v>
      </c>
      <c r="E17" s="9">
        <v>0.5</v>
      </c>
      <c r="F17" s="9">
        <v>280</v>
      </c>
      <c r="G17" s="9">
        <v>0</v>
      </c>
      <c r="H17" s="9">
        <f t="shared" si="6"/>
        <v>140</v>
      </c>
      <c r="I17" s="8" t="s">
        <v>49</v>
      </c>
      <c r="K17" t="s">
        <v>57</v>
      </c>
    </row>
    <row r="18" spans="1:12" x14ac:dyDescent="0.1">
      <c r="A18" s="13">
        <v>46158</v>
      </c>
      <c r="B18" s="38">
        <v>4352</v>
      </c>
      <c r="C18" s="8" t="s">
        <v>50</v>
      </c>
      <c r="D18" s="7" t="s">
        <v>10</v>
      </c>
      <c r="E18" s="9">
        <v>0.5</v>
      </c>
      <c r="F18" s="9">
        <v>280</v>
      </c>
      <c r="G18" s="9">
        <v>0</v>
      </c>
      <c r="H18" s="9">
        <f t="shared" ref="H18" si="9">+(F18+G18)*E18</f>
        <v>140</v>
      </c>
      <c r="I18" s="8" t="s">
        <v>49</v>
      </c>
      <c r="K18" t="s">
        <v>57</v>
      </c>
    </row>
    <row r="19" spans="1:12" x14ac:dyDescent="0.1">
      <c r="A19" s="13">
        <v>46158</v>
      </c>
      <c r="B19" s="38">
        <v>4319</v>
      </c>
      <c r="C19" s="8" t="s">
        <v>54</v>
      </c>
      <c r="D19" s="7" t="s">
        <v>10</v>
      </c>
      <c r="E19" s="9">
        <v>0.5</v>
      </c>
      <c r="F19" s="9">
        <v>280</v>
      </c>
      <c r="G19" s="9">
        <v>0</v>
      </c>
      <c r="H19" s="9">
        <f t="shared" ref="H19" si="10">+(F19+G19)*E19</f>
        <v>140</v>
      </c>
      <c r="I19" s="8" t="s">
        <v>49</v>
      </c>
    </row>
    <row r="20" spans="1:12" ht="14.25" x14ac:dyDescent="0.15">
      <c r="A20" s="13"/>
      <c r="B20" s="14"/>
      <c r="C20" s="7"/>
      <c r="D20" s="12" t="s">
        <v>7</v>
      </c>
      <c r="E20" s="11"/>
      <c r="F20" s="4"/>
      <c r="G20" s="4"/>
      <c r="H20" s="5">
        <f>SUM(H7:H19)</f>
        <v>2801.4</v>
      </c>
      <c r="I20" s="6" t="s">
        <v>37</v>
      </c>
      <c r="K20">
        <v>1786.4</v>
      </c>
      <c r="L20">
        <f>+K20/280</f>
        <v>6.38</v>
      </c>
    </row>
    <row r="21" spans="1:12" x14ac:dyDescent="0.1">
      <c r="A21" s="13">
        <v>46160</v>
      </c>
      <c r="B21" s="38">
        <v>4353</v>
      </c>
      <c r="C21" s="8" t="s">
        <v>50</v>
      </c>
      <c r="D21" s="7" t="s">
        <v>10</v>
      </c>
      <c r="E21" s="9">
        <v>1</v>
      </c>
      <c r="F21" s="9">
        <v>280</v>
      </c>
      <c r="G21" s="9">
        <v>0</v>
      </c>
      <c r="H21" s="9">
        <f t="shared" ref="H21" si="11">+(F21+G21)*E21</f>
        <v>280</v>
      </c>
      <c r="I21" s="8" t="s">
        <v>49</v>
      </c>
      <c r="K21" t="s">
        <v>57</v>
      </c>
    </row>
    <row r="22" spans="1:12" x14ac:dyDescent="0.1">
      <c r="A22" s="13">
        <v>46160</v>
      </c>
      <c r="B22" s="38">
        <v>3729</v>
      </c>
      <c r="C22" s="8" t="s">
        <v>48</v>
      </c>
      <c r="D22" s="7" t="s">
        <v>10</v>
      </c>
      <c r="E22" s="9">
        <v>1</v>
      </c>
      <c r="F22" s="9">
        <v>280</v>
      </c>
      <c r="G22" s="9">
        <v>0</v>
      </c>
      <c r="H22" s="9">
        <f t="shared" ref="H22" si="12">+(F22+G22)*E22</f>
        <v>280</v>
      </c>
      <c r="I22" s="8" t="s">
        <v>49</v>
      </c>
      <c r="K22" t="s">
        <v>57</v>
      </c>
    </row>
    <row r="23" spans="1:12" x14ac:dyDescent="0.1">
      <c r="A23" s="13">
        <v>46160</v>
      </c>
      <c r="B23" s="38">
        <v>4354</v>
      </c>
      <c r="C23" s="8" t="s">
        <v>55</v>
      </c>
      <c r="D23" s="7" t="s">
        <v>10</v>
      </c>
      <c r="E23" s="9">
        <v>0.5</v>
      </c>
      <c r="F23" s="9">
        <v>280</v>
      </c>
      <c r="G23" s="9">
        <v>0</v>
      </c>
      <c r="H23" s="9">
        <f t="shared" ref="H23:H24" si="13">+(F23+G23)*E23</f>
        <v>140</v>
      </c>
      <c r="I23" s="8" t="s">
        <v>49</v>
      </c>
      <c r="K23" t="s">
        <v>57</v>
      </c>
    </row>
    <row r="24" spans="1:12" x14ac:dyDescent="0.1">
      <c r="A24" s="13">
        <v>46161</v>
      </c>
      <c r="B24" s="38">
        <v>3437</v>
      </c>
      <c r="C24" s="8" t="s">
        <v>58</v>
      </c>
      <c r="D24" s="7" t="s">
        <v>10</v>
      </c>
      <c r="E24" s="9">
        <v>1</v>
      </c>
      <c r="F24" s="9">
        <v>280</v>
      </c>
      <c r="G24" s="9">
        <v>0</v>
      </c>
      <c r="H24" s="9">
        <f t="shared" si="13"/>
        <v>280</v>
      </c>
      <c r="I24" s="8" t="s">
        <v>49</v>
      </c>
      <c r="K24" t="s">
        <v>57</v>
      </c>
    </row>
    <row r="25" spans="1:12" x14ac:dyDescent="0.1">
      <c r="A25" s="13">
        <v>46161</v>
      </c>
      <c r="B25" s="38">
        <v>3730</v>
      </c>
      <c r="C25" s="8" t="s">
        <v>48</v>
      </c>
      <c r="D25" s="7" t="s">
        <v>10</v>
      </c>
      <c r="E25" s="9">
        <v>1</v>
      </c>
      <c r="F25" s="9">
        <v>280</v>
      </c>
      <c r="G25" s="9">
        <v>0</v>
      </c>
      <c r="H25" s="9">
        <f t="shared" ref="H25" si="14">+(F25+G25)*E25</f>
        <v>280</v>
      </c>
      <c r="I25" s="8" t="s">
        <v>49</v>
      </c>
      <c r="K25" t="s">
        <v>57</v>
      </c>
    </row>
    <row r="26" spans="1:12" x14ac:dyDescent="0.1">
      <c r="A26" s="13">
        <v>46161</v>
      </c>
      <c r="B26" s="38">
        <v>3731</v>
      </c>
      <c r="C26" s="8" t="s">
        <v>55</v>
      </c>
      <c r="D26" s="7" t="s">
        <v>10</v>
      </c>
      <c r="E26" s="9">
        <v>1</v>
      </c>
      <c r="F26" s="9">
        <v>280</v>
      </c>
      <c r="G26" s="9">
        <v>0</v>
      </c>
      <c r="H26" s="9">
        <f t="shared" ref="H26:H29" si="15">+(F26+G26)*E26</f>
        <v>280</v>
      </c>
      <c r="I26" s="8" t="s">
        <v>49</v>
      </c>
      <c r="K26" t="s">
        <v>57</v>
      </c>
    </row>
    <row r="27" spans="1:12" x14ac:dyDescent="0.1">
      <c r="A27" s="13">
        <v>46161</v>
      </c>
      <c r="B27" s="38">
        <v>4356</v>
      </c>
      <c r="C27" s="8" t="s">
        <v>50</v>
      </c>
      <c r="D27" s="7" t="s">
        <v>10</v>
      </c>
      <c r="E27" s="9">
        <v>1</v>
      </c>
      <c r="F27" s="9">
        <v>280</v>
      </c>
      <c r="G27" s="9">
        <v>0</v>
      </c>
      <c r="H27" s="9">
        <f t="shared" si="15"/>
        <v>280</v>
      </c>
      <c r="I27" s="8" t="s">
        <v>49</v>
      </c>
      <c r="K27" t="s">
        <v>57</v>
      </c>
    </row>
    <row r="28" spans="1:12" x14ac:dyDescent="0.1">
      <c r="A28" s="13">
        <v>46162</v>
      </c>
      <c r="B28" s="38">
        <v>3870</v>
      </c>
      <c r="C28" s="8" t="s">
        <v>58</v>
      </c>
      <c r="D28" s="7" t="s">
        <v>10</v>
      </c>
      <c r="E28" s="9">
        <v>1</v>
      </c>
      <c r="F28" s="9">
        <v>280</v>
      </c>
      <c r="G28" s="9">
        <v>0</v>
      </c>
      <c r="H28" s="9">
        <f t="shared" si="15"/>
        <v>280</v>
      </c>
      <c r="I28" s="8" t="s">
        <v>49</v>
      </c>
      <c r="K28" t="s">
        <v>57</v>
      </c>
    </row>
    <row r="29" spans="1:12" x14ac:dyDescent="0.1">
      <c r="A29" s="13">
        <v>46162</v>
      </c>
      <c r="B29" s="38">
        <v>3733</v>
      </c>
      <c r="C29" s="8" t="s">
        <v>48</v>
      </c>
      <c r="D29" s="7" t="s">
        <v>10</v>
      </c>
      <c r="E29" s="9">
        <v>1</v>
      </c>
      <c r="F29" s="9">
        <v>280</v>
      </c>
      <c r="G29" s="9">
        <v>0</v>
      </c>
      <c r="H29" s="9">
        <f t="shared" si="15"/>
        <v>280</v>
      </c>
      <c r="I29" s="8" t="s">
        <v>49</v>
      </c>
      <c r="K29" t="s">
        <v>57</v>
      </c>
    </row>
    <row r="30" spans="1:12" x14ac:dyDescent="0.1">
      <c r="A30" s="13">
        <v>46162</v>
      </c>
      <c r="B30" s="38">
        <v>3871</v>
      </c>
      <c r="C30" s="8" t="s">
        <v>55</v>
      </c>
      <c r="D30" s="7" t="s">
        <v>10</v>
      </c>
      <c r="E30" s="9">
        <v>1</v>
      </c>
      <c r="F30" s="9">
        <v>280</v>
      </c>
      <c r="G30" s="9">
        <v>0</v>
      </c>
      <c r="H30" s="9">
        <f t="shared" ref="H30:H31" si="16">+(F30+G30)*E30</f>
        <v>280</v>
      </c>
      <c r="I30" s="8" t="s">
        <v>49</v>
      </c>
      <c r="K30" t="s">
        <v>57</v>
      </c>
    </row>
    <row r="31" spans="1:12" x14ac:dyDescent="0.1">
      <c r="A31" s="13">
        <v>46162</v>
      </c>
      <c r="B31" s="38">
        <v>4357</v>
      </c>
      <c r="C31" s="8" t="s">
        <v>50</v>
      </c>
      <c r="D31" s="7" t="s">
        <v>10</v>
      </c>
      <c r="E31" s="9">
        <v>1</v>
      </c>
      <c r="F31" s="9">
        <v>280</v>
      </c>
      <c r="G31" s="9">
        <v>0</v>
      </c>
      <c r="H31" s="9">
        <f t="shared" si="16"/>
        <v>280</v>
      </c>
      <c r="I31" s="8" t="s">
        <v>49</v>
      </c>
      <c r="K31" t="s">
        <v>57</v>
      </c>
    </row>
    <row r="32" spans="1:12" x14ac:dyDescent="0.1">
      <c r="A32" s="13">
        <v>46163</v>
      </c>
      <c r="B32" s="38">
        <v>3734</v>
      </c>
      <c r="C32" s="8" t="s">
        <v>48</v>
      </c>
      <c r="D32" s="7" t="s">
        <v>10</v>
      </c>
      <c r="E32" s="9">
        <v>0.81</v>
      </c>
      <c r="F32" s="9">
        <v>280</v>
      </c>
      <c r="G32" s="9">
        <v>0</v>
      </c>
      <c r="H32" s="9">
        <f t="shared" ref="H32" si="17">+(F32+G32)*E32</f>
        <v>226.8</v>
      </c>
      <c r="I32" s="8" t="s">
        <v>49</v>
      </c>
      <c r="K32" t="s">
        <v>57</v>
      </c>
    </row>
    <row r="33" spans="1:12" x14ac:dyDescent="0.1">
      <c r="A33" s="13">
        <v>46163</v>
      </c>
      <c r="B33" s="38">
        <v>4359</v>
      </c>
      <c r="C33" s="8" t="s">
        <v>50</v>
      </c>
      <c r="D33" s="7" t="s">
        <v>10</v>
      </c>
      <c r="E33" s="9">
        <v>1</v>
      </c>
      <c r="F33" s="9">
        <v>280</v>
      </c>
      <c r="G33" s="9">
        <v>0</v>
      </c>
      <c r="H33" s="9">
        <f t="shared" ref="H33" si="18">+(F33+G33)*E33</f>
        <v>280</v>
      </c>
      <c r="I33" s="8" t="s">
        <v>49</v>
      </c>
      <c r="K33" t="s">
        <v>57</v>
      </c>
    </row>
    <row r="34" spans="1:12" x14ac:dyDescent="0.1">
      <c r="A34" s="13">
        <v>46163</v>
      </c>
      <c r="B34" s="38">
        <v>4360</v>
      </c>
      <c r="C34" s="8" t="s">
        <v>59</v>
      </c>
      <c r="D34" s="7" t="s">
        <v>10</v>
      </c>
      <c r="E34" s="9">
        <v>1</v>
      </c>
      <c r="F34" s="9">
        <v>280</v>
      </c>
      <c r="G34" s="9">
        <v>0</v>
      </c>
      <c r="H34" s="9">
        <f t="shared" ref="H34" si="19">+(F34+G34)*E34</f>
        <v>280</v>
      </c>
      <c r="I34" s="8" t="s">
        <v>49</v>
      </c>
      <c r="K34" t="s">
        <v>57</v>
      </c>
    </row>
    <row r="35" spans="1:12" x14ac:dyDescent="0.1">
      <c r="A35" s="13">
        <v>46163</v>
      </c>
      <c r="B35" s="38">
        <v>3438</v>
      </c>
      <c r="C35" s="8" t="s">
        <v>60</v>
      </c>
      <c r="D35" s="7" t="s">
        <v>10</v>
      </c>
      <c r="E35" s="9">
        <v>1</v>
      </c>
      <c r="F35" s="9">
        <v>280</v>
      </c>
      <c r="G35" s="9">
        <v>0</v>
      </c>
      <c r="H35" s="9">
        <f t="shared" ref="H35" si="20">+(F35+G35)*E35</f>
        <v>280</v>
      </c>
      <c r="I35" s="8" t="s">
        <v>49</v>
      </c>
      <c r="K35" t="s">
        <v>57</v>
      </c>
    </row>
    <row r="36" spans="1:12" x14ac:dyDescent="0.1">
      <c r="A36" s="13">
        <v>46164</v>
      </c>
      <c r="B36" s="38">
        <v>4380</v>
      </c>
      <c r="C36" s="8" t="s">
        <v>61</v>
      </c>
      <c r="D36" s="7" t="s">
        <v>10</v>
      </c>
      <c r="E36" s="9">
        <v>1</v>
      </c>
      <c r="F36" s="9">
        <v>280</v>
      </c>
      <c r="G36" s="9">
        <v>0</v>
      </c>
      <c r="H36" s="9">
        <f t="shared" ref="H36:H39" si="21">+(F36+G36)*E36</f>
        <v>280</v>
      </c>
      <c r="I36" s="8" t="s">
        <v>49</v>
      </c>
      <c r="K36" t="s">
        <v>57</v>
      </c>
    </row>
    <row r="37" spans="1:12" x14ac:dyDescent="0.1">
      <c r="A37" s="13">
        <v>46164</v>
      </c>
      <c r="B37" s="38">
        <v>4382</v>
      </c>
      <c r="C37" s="8" t="s">
        <v>59</v>
      </c>
      <c r="D37" s="7" t="s">
        <v>10</v>
      </c>
      <c r="E37" s="9">
        <v>1</v>
      </c>
      <c r="F37" s="9">
        <v>280</v>
      </c>
      <c r="G37" s="9">
        <v>0</v>
      </c>
      <c r="H37" s="9">
        <f t="shared" si="21"/>
        <v>280</v>
      </c>
      <c r="I37" s="8" t="s">
        <v>49</v>
      </c>
      <c r="K37" t="s">
        <v>57</v>
      </c>
    </row>
    <row r="38" spans="1:12" x14ac:dyDescent="0.1">
      <c r="A38" s="13">
        <v>46164</v>
      </c>
      <c r="B38" s="38">
        <v>4361</v>
      </c>
      <c r="C38" s="8" t="s">
        <v>50</v>
      </c>
      <c r="D38" s="7" t="s">
        <v>10</v>
      </c>
      <c r="E38" s="9">
        <v>1</v>
      </c>
      <c r="F38" s="9">
        <v>280</v>
      </c>
      <c r="G38" s="9">
        <v>0</v>
      </c>
      <c r="H38" s="9">
        <f t="shared" si="21"/>
        <v>280</v>
      </c>
      <c r="I38" s="8" t="s">
        <v>49</v>
      </c>
      <c r="K38" t="s">
        <v>57</v>
      </c>
    </row>
    <row r="39" spans="1:12" x14ac:dyDescent="0.1">
      <c r="A39" s="13">
        <v>46164</v>
      </c>
      <c r="B39" s="38">
        <v>3735</v>
      </c>
      <c r="C39" s="8" t="s">
        <v>48</v>
      </c>
      <c r="D39" s="7" t="s">
        <v>10</v>
      </c>
      <c r="E39" s="9">
        <v>1</v>
      </c>
      <c r="F39" s="9">
        <v>280</v>
      </c>
      <c r="G39" s="9">
        <v>0</v>
      </c>
      <c r="H39" s="9">
        <f t="shared" si="21"/>
        <v>280</v>
      </c>
      <c r="I39" s="8" t="s">
        <v>49</v>
      </c>
      <c r="K39" t="s">
        <v>57</v>
      </c>
    </row>
    <row r="40" spans="1:12" x14ac:dyDescent="0.1">
      <c r="A40" s="13">
        <v>46165</v>
      </c>
      <c r="B40" s="38">
        <v>4383</v>
      </c>
      <c r="C40" s="8" t="s">
        <v>59</v>
      </c>
      <c r="D40" s="7" t="s">
        <v>10</v>
      </c>
      <c r="E40" s="9">
        <v>1</v>
      </c>
      <c r="F40" s="9">
        <v>280</v>
      </c>
      <c r="G40" s="9">
        <v>0</v>
      </c>
      <c r="H40" s="9">
        <f t="shared" ref="H40" si="22">+(F40+G40)*E40</f>
        <v>280</v>
      </c>
      <c r="I40" s="8" t="s">
        <v>49</v>
      </c>
      <c r="K40" t="s">
        <v>57</v>
      </c>
    </row>
    <row r="41" spans="1:12" ht="14.25" x14ac:dyDescent="0.15">
      <c r="A41" s="13"/>
      <c r="B41" s="14"/>
      <c r="C41" s="7"/>
      <c r="D41" s="12" t="s">
        <v>7</v>
      </c>
      <c r="E41" s="11"/>
      <c r="F41" s="4"/>
      <c r="G41" s="4"/>
      <c r="H41" s="5">
        <f>SUM(H21:H40)</f>
        <v>5406.8</v>
      </c>
      <c r="I41" s="6" t="s">
        <v>56</v>
      </c>
      <c r="K41" s="40">
        <f>+H41+K20</f>
        <v>7193.2000000000007</v>
      </c>
      <c r="L41">
        <f>+K41/280</f>
        <v>25.69</v>
      </c>
    </row>
    <row r="42" spans="1:12" x14ac:dyDescent="0.1">
      <c r="A42" s="13">
        <v>46167</v>
      </c>
      <c r="B42" s="14">
        <v>4386</v>
      </c>
      <c r="C42" s="50" t="s">
        <v>59</v>
      </c>
      <c r="D42" s="7" t="s">
        <v>10</v>
      </c>
      <c r="E42" s="9">
        <v>1</v>
      </c>
      <c r="F42" s="9">
        <v>280</v>
      </c>
      <c r="G42" s="9">
        <v>0</v>
      </c>
      <c r="H42" s="9">
        <f t="shared" ref="H42:H43" si="23">+(F42+G42)*E42</f>
        <v>280</v>
      </c>
      <c r="I42" s="8" t="s">
        <v>49</v>
      </c>
      <c r="K42" t="s">
        <v>57</v>
      </c>
      <c r="L42">
        <v>0.56000000000000005</v>
      </c>
    </row>
    <row r="43" spans="1:12" x14ac:dyDescent="0.1">
      <c r="A43" s="13">
        <v>46167</v>
      </c>
      <c r="B43" s="14">
        <v>4387</v>
      </c>
      <c r="C43" s="50" t="s">
        <v>61</v>
      </c>
      <c r="D43" s="7" t="s">
        <v>10</v>
      </c>
      <c r="E43" s="9">
        <v>1</v>
      </c>
      <c r="F43" s="9">
        <v>280</v>
      </c>
      <c r="G43" s="9">
        <v>0</v>
      </c>
      <c r="H43" s="9">
        <f t="shared" si="23"/>
        <v>280</v>
      </c>
      <c r="I43" s="8" t="s">
        <v>49</v>
      </c>
      <c r="K43" t="s">
        <v>57</v>
      </c>
      <c r="L43">
        <v>0.56000000000000005</v>
      </c>
    </row>
    <row r="44" spans="1:12" x14ac:dyDescent="0.1">
      <c r="A44" s="13">
        <v>46168</v>
      </c>
      <c r="B44" s="14">
        <v>4388</v>
      </c>
      <c r="C44" s="50" t="s">
        <v>59</v>
      </c>
      <c r="D44" s="7" t="s">
        <v>10</v>
      </c>
      <c r="E44" s="9">
        <v>1</v>
      </c>
      <c r="F44" s="9">
        <v>280</v>
      </c>
      <c r="G44" s="9">
        <v>0</v>
      </c>
      <c r="H44" s="9">
        <f t="shared" ref="H44" si="24">+(F44+G44)*E44</f>
        <v>280</v>
      </c>
      <c r="I44" s="8" t="s">
        <v>49</v>
      </c>
      <c r="K44" t="s">
        <v>57</v>
      </c>
      <c r="L44">
        <v>0.88</v>
      </c>
    </row>
    <row r="45" spans="1:12" x14ac:dyDescent="0.1">
      <c r="A45" s="13">
        <v>46168</v>
      </c>
      <c r="B45" s="14">
        <v>4390</v>
      </c>
      <c r="C45" s="50" t="s">
        <v>61</v>
      </c>
      <c r="D45" s="7" t="s">
        <v>10</v>
      </c>
      <c r="E45" s="9">
        <v>1</v>
      </c>
      <c r="F45" s="9">
        <v>280</v>
      </c>
      <c r="G45" s="9">
        <v>0</v>
      </c>
      <c r="H45" s="9">
        <f t="shared" ref="H45" si="25">+(F45+G45)*E45</f>
        <v>280</v>
      </c>
      <c r="I45" s="8" t="s">
        <v>49</v>
      </c>
      <c r="K45" t="s">
        <v>57</v>
      </c>
      <c r="L45">
        <v>1</v>
      </c>
    </row>
    <row r="46" spans="1:12" x14ac:dyDescent="0.1">
      <c r="A46" s="13">
        <v>46168</v>
      </c>
      <c r="B46" s="14">
        <v>4389</v>
      </c>
      <c r="C46" s="50" t="s">
        <v>64</v>
      </c>
      <c r="D46" s="7" t="s">
        <v>10</v>
      </c>
      <c r="E46" s="9">
        <v>1</v>
      </c>
      <c r="F46" s="9">
        <v>280</v>
      </c>
      <c r="G46" s="9">
        <v>0</v>
      </c>
      <c r="H46" s="9">
        <f t="shared" ref="H46" si="26">+(F46+G46)*E46</f>
        <v>280</v>
      </c>
      <c r="I46" s="8" t="s">
        <v>49</v>
      </c>
      <c r="K46" t="s">
        <v>57</v>
      </c>
      <c r="L46">
        <v>1</v>
      </c>
    </row>
    <row r="47" spans="1:12" x14ac:dyDescent="0.1">
      <c r="A47" s="13">
        <v>46169</v>
      </c>
      <c r="B47" s="14">
        <v>4393</v>
      </c>
      <c r="C47" s="50" t="s">
        <v>64</v>
      </c>
      <c r="D47" s="7" t="s">
        <v>10</v>
      </c>
      <c r="E47" s="9">
        <v>1</v>
      </c>
      <c r="F47" s="9">
        <v>280</v>
      </c>
      <c r="G47" s="9">
        <v>0</v>
      </c>
      <c r="H47" s="9">
        <f t="shared" ref="H47" si="27">+(F47+G47)*E47</f>
        <v>280</v>
      </c>
      <c r="I47" s="8" t="s">
        <v>49</v>
      </c>
      <c r="K47" t="s">
        <v>57</v>
      </c>
      <c r="L47">
        <v>1</v>
      </c>
    </row>
    <row r="48" spans="1:12" x14ac:dyDescent="0.1">
      <c r="A48" s="13">
        <v>46169</v>
      </c>
      <c r="B48" s="38">
        <v>4392</v>
      </c>
      <c r="C48" s="50" t="s">
        <v>61</v>
      </c>
      <c r="D48" s="7" t="s">
        <v>10</v>
      </c>
      <c r="E48" s="9">
        <v>0.88</v>
      </c>
      <c r="F48" s="9">
        <v>280</v>
      </c>
      <c r="G48" s="9">
        <v>0</v>
      </c>
      <c r="H48" s="9">
        <f t="shared" ref="H48" si="28">+(F48+G48)*E48</f>
        <v>246.4</v>
      </c>
      <c r="I48" s="8" t="s">
        <v>49</v>
      </c>
      <c r="K48" t="s">
        <v>57</v>
      </c>
      <c r="L48">
        <v>0.88</v>
      </c>
    </row>
    <row r="49" spans="1:13" x14ac:dyDescent="0.1">
      <c r="A49" s="13">
        <v>46169</v>
      </c>
      <c r="B49" s="14">
        <v>4391</v>
      </c>
      <c r="C49" s="50" t="s">
        <v>59</v>
      </c>
      <c r="D49" s="7" t="s">
        <v>10</v>
      </c>
      <c r="E49" s="9">
        <v>1</v>
      </c>
      <c r="F49" s="9">
        <v>280</v>
      </c>
      <c r="G49" s="9">
        <v>0</v>
      </c>
      <c r="H49" s="9">
        <f t="shared" ref="H49" si="29">+(F49+G49)*E49</f>
        <v>280</v>
      </c>
      <c r="I49" s="8" t="s">
        <v>49</v>
      </c>
      <c r="K49" t="s">
        <v>57</v>
      </c>
      <c r="L49">
        <v>1</v>
      </c>
    </row>
    <row r="50" spans="1:13" x14ac:dyDescent="0.1">
      <c r="A50" s="13">
        <v>46170</v>
      </c>
      <c r="B50" s="14">
        <v>4395</v>
      </c>
      <c r="C50" s="50" t="s">
        <v>59</v>
      </c>
      <c r="D50" s="7" t="s">
        <v>10</v>
      </c>
      <c r="E50" s="9">
        <v>1.19</v>
      </c>
      <c r="F50" s="9">
        <v>280</v>
      </c>
      <c r="G50" s="9">
        <v>0</v>
      </c>
      <c r="H50" s="9">
        <f t="shared" ref="H50" si="30">+(F50+G50)*E50</f>
        <v>333.2</v>
      </c>
      <c r="I50" s="8" t="s">
        <v>49</v>
      </c>
      <c r="K50" t="s">
        <v>57</v>
      </c>
      <c r="L50">
        <v>1.19</v>
      </c>
    </row>
    <row r="51" spans="1:13" x14ac:dyDescent="0.1">
      <c r="A51" s="13">
        <v>46170</v>
      </c>
      <c r="B51" s="14">
        <v>4396</v>
      </c>
      <c r="C51" s="50" t="s">
        <v>64</v>
      </c>
      <c r="D51" s="7" t="s">
        <v>10</v>
      </c>
      <c r="E51" s="9">
        <v>1</v>
      </c>
      <c r="F51" s="9">
        <v>280</v>
      </c>
      <c r="G51" s="9">
        <v>0</v>
      </c>
      <c r="H51" s="9">
        <f t="shared" ref="H51" si="31">+(F51+G51)*E51</f>
        <v>280</v>
      </c>
      <c r="I51" s="8" t="s">
        <v>49</v>
      </c>
      <c r="K51" t="s">
        <v>57</v>
      </c>
      <c r="L51">
        <v>1</v>
      </c>
    </row>
    <row r="52" spans="1:13" x14ac:dyDescent="0.1">
      <c r="A52" s="13">
        <v>46170</v>
      </c>
      <c r="B52" s="14">
        <v>4394</v>
      </c>
      <c r="C52" s="50" t="s">
        <v>65</v>
      </c>
      <c r="D52" s="7" t="s">
        <v>10</v>
      </c>
      <c r="E52" s="9">
        <v>1</v>
      </c>
      <c r="F52" s="9">
        <v>280</v>
      </c>
      <c r="G52" s="9">
        <v>0</v>
      </c>
      <c r="H52" s="9">
        <f t="shared" ref="H52:H53" si="32">+(F52+G52)*E52</f>
        <v>280</v>
      </c>
      <c r="I52" s="8" t="s">
        <v>49</v>
      </c>
      <c r="K52" t="s">
        <v>57</v>
      </c>
      <c r="L52">
        <v>1</v>
      </c>
    </row>
    <row r="53" spans="1:13" x14ac:dyDescent="0.1">
      <c r="A53" s="13">
        <v>46171</v>
      </c>
      <c r="B53" s="14">
        <v>4586</v>
      </c>
      <c r="C53" s="50" t="s">
        <v>67</v>
      </c>
      <c r="D53" s="7" t="s">
        <v>10</v>
      </c>
      <c r="E53" s="9">
        <v>1</v>
      </c>
      <c r="F53" s="9">
        <v>280</v>
      </c>
      <c r="G53" s="9">
        <v>0</v>
      </c>
      <c r="H53" s="9">
        <f t="shared" si="32"/>
        <v>280</v>
      </c>
      <c r="I53" s="8" t="s">
        <v>49</v>
      </c>
      <c r="K53" t="s">
        <v>57</v>
      </c>
      <c r="L53">
        <v>1</v>
      </c>
    </row>
    <row r="54" spans="1:13" x14ac:dyDescent="0.1">
      <c r="A54" s="13">
        <v>46171</v>
      </c>
      <c r="B54" s="14" t="s">
        <v>66</v>
      </c>
      <c r="C54" s="50" t="s">
        <v>64</v>
      </c>
      <c r="D54" s="7" t="s">
        <v>10</v>
      </c>
      <c r="E54" s="9">
        <v>1</v>
      </c>
      <c r="F54" s="9">
        <v>280</v>
      </c>
      <c r="G54" s="9">
        <v>0</v>
      </c>
      <c r="H54" s="9">
        <f t="shared" ref="H54" si="33">+(F54+G54)*E54</f>
        <v>280</v>
      </c>
      <c r="I54" s="8" t="s">
        <v>49</v>
      </c>
      <c r="K54" t="s">
        <v>57</v>
      </c>
      <c r="L54">
        <v>1</v>
      </c>
    </row>
    <row r="55" spans="1:13" x14ac:dyDescent="0.1">
      <c r="A55" s="13">
        <v>46171</v>
      </c>
      <c r="B55" s="14">
        <v>4564</v>
      </c>
      <c r="C55" s="50" t="s">
        <v>65</v>
      </c>
      <c r="D55" s="7" t="s">
        <v>10</v>
      </c>
      <c r="E55" s="9">
        <v>1.25</v>
      </c>
      <c r="F55" s="9">
        <v>280</v>
      </c>
      <c r="G55" s="9">
        <v>0</v>
      </c>
      <c r="H55" s="9">
        <f t="shared" ref="H55" si="34">+(F55+G55)*E55</f>
        <v>350</v>
      </c>
      <c r="I55" s="8" t="s">
        <v>49</v>
      </c>
      <c r="K55" t="s">
        <v>57</v>
      </c>
      <c r="L55">
        <v>1.25</v>
      </c>
    </row>
    <row r="56" spans="1:13" x14ac:dyDescent="0.1">
      <c r="A56" s="13">
        <v>46171</v>
      </c>
      <c r="B56" s="14">
        <v>4557</v>
      </c>
      <c r="C56" s="50" t="s">
        <v>59</v>
      </c>
      <c r="D56" s="7" t="s">
        <v>10</v>
      </c>
      <c r="E56" s="9">
        <v>1.25</v>
      </c>
      <c r="F56" s="9">
        <v>280</v>
      </c>
      <c r="G56" s="9">
        <v>0</v>
      </c>
      <c r="H56" s="9">
        <f t="shared" ref="H56:H59" si="35">+(F56+G56)*E56</f>
        <v>350</v>
      </c>
      <c r="I56" s="8" t="s">
        <v>49</v>
      </c>
      <c r="K56" t="s">
        <v>57</v>
      </c>
      <c r="L56">
        <v>1.25</v>
      </c>
    </row>
    <row r="57" spans="1:13" x14ac:dyDescent="0.1">
      <c r="A57" s="13">
        <v>46171</v>
      </c>
      <c r="B57" s="14">
        <v>35662</v>
      </c>
      <c r="C57" s="8" t="s">
        <v>33</v>
      </c>
      <c r="D57" s="7" t="s">
        <v>34</v>
      </c>
      <c r="E57" s="9">
        <v>14</v>
      </c>
      <c r="F57" s="9">
        <v>0</v>
      </c>
      <c r="G57" s="9">
        <v>14.5</v>
      </c>
      <c r="H57" s="9">
        <f t="shared" ref="H57" si="36">+(F57+G57)*E57</f>
        <v>203</v>
      </c>
      <c r="I57" s="8" t="s">
        <v>35</v>
      </c>
      <c r="K57" t="s">
        <v>57</v>
      </c>
    </row>
    <row r="58" spans="1:13" x14ac:dyDescent="0.1">
      <c r="A58" s="13">
        <v>46171</v>
      </c>
      <c r="B58" s="14">
        <v>35665</v>
      </c>
      <c r="C58" s="8" t="s">
        <v>33</v>
      </c>
      <c r="D58" s="7" t="s">
        <v>34</v>
      </c>
      <c r="E58" s="9">
        <v>14</v>
      </c>
      <c r="F58" s="9">
        <v>0</v>
      </c>
      <c r="G58" s="9">
        <v>14.5</v>
      </c>
      <c r="H58" s="9">
        <f t="shared" si="35"/>
        <v>203</v>
      </c>
      <c r="I58" s="8" t="s">
        <v>35</v>
      </c>
      <c r="K58" t="s">
        <v>57</v>
      </c>
    </row>
    <row r="59" spans="1:13" x14ac:dyDescent="0.1">
      <c r="A59" s="13">
        <v>46172</v>
      </c>
      <c r="B59" s="14">
        <v>4583</v>
      </c>
      <c r="C59" s="50" t="s">
        <v>48</v>
      </c>
      <c r="D59" s="7" t="s">
        <v>10</v>
      </c>
      <c r="E59" s="9">
        <v>1</v>
      </c>
      <c r="F59" s="9">
        <v>280</v>
      </c>
      <c r="G59" s="9">
        <v>0</v>
      </c>
      <c r="H59" s="9">
        <f t="shared" si="35"/>
        <v>280</v>
      </c>
      <c r="I59" s="8" t="s">
        <v>49</v>
      </c>
      <c r="K59" t="s">
        <v>57</v>
      </c>
      <c r="L59">
        <v>0.81</v>
      </c>
    </row>
    <row r="60" spans="1:13" x14ac:dyDescent="0.1">
      <c r="A60" s="13">
        <v>46172</v>
      </c>
      <c r="B60" s="14">
        <v>4565</v>
      </c>
      <c r="C60" s="50" t="s">
        <v>65</v>
      </c>
      <c r="D60" s="7" t="s">
        <v>10</v>
      </c>
      <c r="E60" s="9">
        <v>1</v>
      </c>
      <c r="F60" s="9">
        <v>280</v>
      </c>
      <c r="G60" s="9">
        <v>0</v>
      </c>
      <c r="H60" s="9">
        <f t="shared" ref="H60" si="37">+(F60+G60)*E60</f>
        <v>280</v>
      </c>
      <c r="I60" s="8" t="s">
        <v>49</v>
      </c>
      <c r="K60" t="s">
        <v>57</v>
      </c>
      <c r="L60">
        <v>0.81</v>
      </c>
    </row>
    <row r="61" spans="1:13" x14ac:dyDescent="0.1">
      <c r="A61" s="13">
        <v>46172</v>
      </c>
      <c r="B61" s="14">
        <v>4397</v>
      </c>
      <c r="C61" s="50" t="s">
        <v>64</v>
      </c>
      <c r="D61" s="7" t="s">
        <v>10</v>
      </c>
      <c r="E61" s="9">
        <v>1</v>
      </c>
      <c r="F61" s="9">
        <v>280</v>
      </c>
      <c r="G61" s="9">
        <v>0</v>
      </c>
      <c r="H61" s="9">
        <f t="shared" ref="H61" si="38">+(F61+G61)*E61</f>
        <v>280</v>
      </c>
      <c r="I61" s="8" t="s">
        <v>49</v>
      </c>
      <c r="K61" t="s">
        <v>57</v>
      </c>
      <c r="L61">
        <v>0.75</v>
      </c>
    </row>
    <row r="62" spans="1:13" x14ac:dyDescent="0.1">
      <c r="A62" s="13">
        <v>46172</v>
      </c>
      <c r="B62" s="14">
        <v>4398</v>
      </c>
      <c r="C62" s="50" t="s">
        <v>59</v>
      </c>
      <c r="D62" s="7" t="s">
        <v>10</v>
      </c>
      <c r="E62" s="9">
        <v>1</v>
      </c>
      <c r="F62" s="9">
        <v>280</v>
      </c>
      <c r="G62" s="9">
        <v>0</v>
      </c>
      <c r="H62" s="9">
        <f t="shared" ref="H62" si="39">+(F62+G62)*E62</f>
        <v>280</v>
      </c>
      <c r="I62" s="8" t="s">
        <v>49</v>
      </c>
      <c r="K62" t="s">
        <v>57</v>
      </c>
      <c r="L62">
        <v>0.81</v>
      </c>
    </row>
    <row r="63" spans="1:13" ht="14.25" x14ac:dyDescent="0.15">
      <c r="A63" s="13"/>
      <c r="B63" s="14"/>
      <c r="C63" s="7"/>
      <c r="D63" s="12" t="s">
        <v>7</v>
      </c>
      <c r="E63" s="11">
        <v>18.88</v>
      </c>
      <c r="F63" s="4"/>
      <c r="G63" s="4"/>
      <c r="H63" s="5">
        <f>+H57+H58</f>
        <v>406</v>
      </c>
      <c r="I63" s="6" t="s">
        <v>63</v>
      </c>
      <c r="L63">
        <f>SUM(L42:L62)</f>
        <v>17.75</v>
      </c>
      <c r="M63" s="52">
        <f>+E63-L63</f>
        <v>1.129999999999999</v>
      </c>
    </row>
    <row r="64" spans="1:13" x14ac:dyDescent="0.1">
      <c r="A64" s="13">
        <v>46174</v>
      </c>
      <c r="B64" s="14">
        <v>4399</v>
      </c>
      <c r="C64" s="50" t="s">
        <v>59</v>
      </c>
      <c r="D64" s="7" t="s">
        <v>10</v>
      </c>
      <c r="E64" s="9">
        <v>1</v>
      </c>
      <c r="F64" s="9">
        <v>280</v>
      </c>
      <c r="G64" s="9">
        <v>0</v>
      </c>
      <c r="H64" s="9">
        <f t="shared" ref="H64:H67" si="40">+(F64+G64)*E64</f>
        <v>280</v>
      </c>
      <c r="I64" s="8" t="s">
        <v>49</v>
      </c>
      <c r="K64" t="s">
        <v>57</v>
      </c>
      <c r="L64">
        <v>0.94</v>
      </c>
    </row>
    <row r="65" spans="1:12" x14ac:dyDescent="0.1">
      <c r="A65" s="13">
        <v>46174</v>
      </c>
      <c r="B65" s="14">
        <v>4381</v>
      </c>
      <c r="C65" s="50" t="s">
        <v>61</v>
      </c>
      <c r="D65" s="7" t="s">
        <v>10</v>
      </c>
      <c r="E65" s="9">
        <v>1</v>
      </c>
      <c r="F65" s="9">
        <v>280</v>
      </c>
      <c r="G65" s="9">
        <v>0</v>
      </c>
      <c r="H65" s="9">
        <f t="shared" si="40"/>
        <v>280</v>
      </c>
      <c r="I65" s="8" t="s">
        <v>49</v>
      </c>
      <c r="K65" t="s">
        <v>57</v>
      </c>
      <c r="L65">
        <v>1</v>
      </c>
    </row>
    <row r="66" spans="1:12" x14ac:dyDescent="0.1">
      <c r="A66" s="13">
        <v>46174</v>
      </c>
      <c r="B66" s="14">
        <v>4566</v>
      </c>
      <c r="C66" s="50" t="s">
        <v>65</v>
      </c>
      <c r="D66" s="7" t="s">
        <v>10</v>
      </c>
      <c r="E66" s="9">
        <v>1</v>
      </c>
      <c r="F66" s="9">
        <v>280</v>
      </c>
      <c r="G66" s="9">
        <v>0</v>
      </c>
      <c r="H66" s="9">
        <f t="shared" si="40"/>
        <v>280</v>
      </c>
      <c r="I66" s="8" t="s">
        <v>49</v>
      </c>
      <c r="K66" t="s">
        <v>57</v>
      </c>
      <c r="L66">
        <v>1</v>
      </c>
    </row>
    <row r="67" spans="1:12" x14ac:dyDescent="0.1">
      <c r="A67" s="13">
        <v>46174</v>
      </c>
      <c r="B67" s="14">
        <v>4558</v>
      </c>
      <c r="C67" s="50" t="s">
        <v>67</v>
      </c>
      <c r="D67" s="7" t="s">
        <v>10</v>
      </c>
      <c r="E67" s="9">
        <v>1</v>
      </c>
      <c r="F67" s="9">
        <v>280</v>
      </c>
      <c r="G67" s="9">
        <v>0</v>
      </c>
      <c r="H67" s="9">
        <f t="shared" si="40"/>
        <v>280</v>
      </c>
      <c r="I67" s="8" t="s">
        <v>49</v>
      </c>
      <c r="K67" t="s">
        <v>57</v>
      </c>
      <c r="L67">
        <v>0.5</v>
      </c>
    </row>
    <row r="68" spans="1:12" x14ac:dyDescent="0.1">
      <c r="A68" s="13">
        <v>46175</v>
      </c>
      <c r="B68" s="14">
        <v>4574</v>
      </c>
      <c r="C68" s="50" t="s">
        <v>69</v>
      </c>
      <c r="D68" s="7" t="s">
        <v>10</v>
      </c>
      <c r="E68" s="9">
        <v>1</v>
      </c>
      <c r="F68" s="9">
        <v>280</v>
      </c>
      <c r="G68" s="9">
        <v>0</v>
      </c>
      <c r="H68" s="9">
        <f t="shared" ref="H68" si="41">+(F68+G68)*E68</f>
        <v>280</v>
      </c>
      <c r="I68" s="8" t="s">
        <v>49</v>
      </c>
      <c r="K68" t="s">
        <v>57</v>
      </c>
      <c r="L68">
        <v>1</v>
      </c>
    </row>
    <row r="69" spans="1:12" x14ac:dyDescent="0.1">
      <c r="A69" s="13">
        <v>46175</v>
      </c>
      <c r="B69" s="14">
        <v>4575</v>
      </c>
      <c r="C69" s="50" t="s">
        <v>61</v>
      </c>
      <c r="D69" s="7" t="s">
        <v>10</v>
      </c>
      <c r="E69" s="9">
        <v>1</v>
      </c>
      <c r="F69" s="9">
        <v>280</v>
      </c>
      <c r="G69" s="9">
        <v>0</v>
      </c>
      <c r="H69" s="9">
        <f t="shared" ref="H69" si="42">+(F69+G69)*E69</f>
        <v>280</v>
      </c>
      <c r="I69" s="8" t="s">
        <v>49</v>
      </c>
      <c r="K69" t="s">
        <v>57</v>
      </c>
      <c r="L69">
        <v>1</v>
      </c>
    </row>
    <row r="70" spans="1:12" x14ac:dyDescent="0.1">
      <c r="A70" s="13">
        <v>46175</v>
      </c>
      <c r="B70" s="14">
        <v>4560</v>
      </c>
      <c r="C70" s="50" t="s">
        <v>59</v>
      </c>
      <c r="D70" s="7" t="s">
        <v>10</v>
      </c>
      <c r="E70" s="9">
        <v>1</v>
      </c>
      <c r="F70" s="9">
        <v>280</v>
      </c>
      <c r="G70" s="9">
        <v>0</v>
      </c>
      <c r="H70" s="9">
        <f t="shared" ref="H70" si="43">+(F70+G70)*E70</f>
        <v>280</v>
      </c>
      <c r="I70" s="8" t="s">
        <v>49</v>
      </c>
      <c r="K70" t="s">
        <v>57</v>
      </c>
      <c r="L70">
        <v>1</v>
      </c>
    </row>
    <row r="71" spans="1:12" x14ac:dyDescent="0.1">
      <c r="A71" s="13">
        <v>46175</v>
      </c>
      <c r="B71" s="14">
        <v>4538</v>
      </c>
      <c r="C71" s="50" t="s">
        <v>65</v>
      </c>
      <c r="D71" s="7" t="s">
        <v>10</v>
      </c>
      <c r="E71" s="9">
        <v>1</v>
      </c>
      <c r="F71" s="9">
        <v>280</v>
      </c>
      <c r="G71" s="9">
        <v>0</v>
      </c>
      <c r="H71" s="9">
        <f t="shared" ref="H71" si="44">+(F71+G71)*E71</f>
        <v>280</v>
      </c>
      <c r="I71" s="8" t="s">
        <v>49</v>
      </c>
      <c r="K71" t="s">
        <v>57</v>
      </c>
      <c r="L71">
        <v>1</v>
      </c>
    </row>
    <row r="72" spans="1:12" x14ac:dyDescent="0.1">
      <c r="A72" s="13">
        <v>46176</v>
      </c>
      <c r="B72" s="14">
        <v>4400</v>
      </c>
      <c r="C72" s="50" t="s">
        <v>59</v>
      </c>
      <c r="D72" s="7" t="s">
        <v>10</v>
      </c>
      <c r="E72" s="9">
        <v>1</v>
      </c>
      <c r="F72" s="9">
        <v>280</v>
      </c>
      <c r="G72" s="9">
        <v>0</v>
      </c>
      <c r="H72" s="9">
        <f t="shared" ref="H72" si="45">+(F72+G72)*E72</f>
        <v>280</v>
      </c>
      <c r="I72" s="8" t="s">
        <v>49</v>
      </c>
      <c r="K72" t="s">
        <v>57</v>
      </c>
      <c r="L72">
        <v>1</v>
      </c>
    </row>
    <row r="73" spans="1:12" x14ac:dyDescent="0.1">
      <c r="A73" s="13">
        <v>46176</v>
      </c>
      <c r="B73" s="14">
        <v>4539</v>
      </c>
      <c r="C73" s="50" t="s">
        <v>65</v>
      </c>
      <c r="D73" s="7" t="s">
        <v>10</v>
      </c>
      <c r="E73" s="9">
        <v>1</v>
      </c>
      <c r="F73" s="9">
        <v>280</v>
      </c>
      <c r="G73" s="9">
        <v>0</v>
      </c>
      <c r="H73" s="9">
        <f t="shared" ref="H73" si="46">+(F73+G73)*E73</f>
        <v>280</v>
      </c>
      <c r="I73" s="8" t="s">
        <v>49</v>
      </c>
      <c r="K73" t="s">
        <v>57</v>
      </c>
      <c r="L73">
        <v>1</v>
      </c>
    </row>
    <row r="74" spans="1:12" x14ac:dyDescent="0.1">
      <c r="A74" s="13">
        <v>46176</v>
      </c>
      <c r="B74" s="14">
        <v>4576</v>
      </c>
      <c r="C74" s="50" t="s">
        <v>69</v>
      </c>
      <c r="D74" s="7" t="s">
        <v>10</v>
      </c>
      <c r="E74" s="9">
        <v>1</v>
      </c>
      <c r="F74" s="9">
        <v>280</v>
      </c>
      <c r="G74" s="9">
        <v>0</v>
      </c>
      <c r="H74" s="9">
        <f t="shared" ref="H74:H76" si="47">+(F74+G74)*E74</f>
        <v>280</v>
      </c>
      <c r="I74" s="8" t="s">
        <v>49</v>
      </c>
      <c r="K74" t="s">
        <v>57</v>
      </c>
      <c r="L74">
        <v>1</v>
      </c>
    </row>
    <row r="75" spans="1:12" x14ac:dyDescent="0.1">
      <c r="A75" s="13">
        <v>46176</v>
      </c>
      <c r="B75" s="14">
        <v>4577</v>
      </c>
      <c r="C75" s="50" t="s">
        <v>61</v>
      </c>
      <c r="D75" s="7" t="s">
        <v>10</v>
      </c>
      <c r="E75" s="9">
        <v>1</v>
      </c>
      <c r="F75" s="9">
        <v>280</v>
      </c>
      <c r="G75" s="9">
        <v>0</v>
      </c>
      <c r="H75" s="9">
        <f t="shared" si="47"/>
        <v>280</v>
      </c>
      <c r="I75" s="8" t="s">
        <v>49</v>
      </c>
      <c r="K75" t="s">
        <v>57</v>
      </c>
      <c r="L75" s="51">
        <v>1</v>
      </c>
    </row>
    <row r="76" spans="1:12" x14ac:dyDescent="0.1">
      <c r="A76" s="13">
        <v>46177</v>
      </c>
      <c r="B76" s="14">
        <v>4593</v>
      </c>
      <c r="C76" s="50" t="s">
        <v>59</v>
      </c>
      <c r="D76" s="7" t="s">
        <v>10</v>
      </c>
      <c r="E76" s="9">
        <v>1</v>
      </c>
      <c r="F76" s="9">
        <v>280</v>
      </c>
      <c r="G76" s="9">
        <v>0</v>
      </c>
      <c r="H76" s="9">
        <f t="shared" si="47"/>
        <v>280</v>
      </c>
      <c r="I76" s="8" t="s">
        <v>49</v>
      </c>
      <c r="K76" t="s">
        <v>57</v>
      </c>
      <c r="L76">
        <v>1</v>
      </c>
    </row>
    <row r="77" spans="1:12" x14ac:dyDescent="0.1">
      <c r="A77" s="13">
        <v>46177</v>
      </c>
      <c r="B77" s="14">
        <v>4578</v>
      </c>
      <c r="C77" s="50" t="s">
        <v>61</v>
      </c>
      <c r="D77" s="7" t="s">
        <v>10</v>
      </c>
      <c r="E77" s="9">
        <v>1</v>
      </c>
      <c r="F77" s="9">
        <v>280</v>
      </c>
      <c r="G77" s="9">
        <v>0</v>
      </c>
      <c r="H77" s="9">
        <f t="shared" ref="H77:H79" si="48">+(F77+G77)*E77</f>
        <v>280</v>
      </c>
      <c r="I77" s="8" t="s">
        <v>49</v>
      </c>
      <c r="K77" t="s">
        <v>57</v>
      </c>
      <c r="L77">
        <v>1</v>
      </c>
    </row>
    <row r="78" spans="1:12" x14ac:dyDescent="0.1">
      <c r="A78" s="13">
        <v>46178</v>
      </c>
      <c r="B78" s="14">
        <v>4587</v>
      </c>
      <c r="C78" s="50" t="s">
        <v>64</v>
      </c>
      <c r="D78" s="7" t="s">
        <v>10</v>
      </c>
      <c r="E78" s="9">
        <v>1</v>
      </c>
      <c r="F78" s="9">
        <v>280</v>
      </c>
      <c r="G78" s="9">
        <v>0</v>
      </c>
      <c r="H78" s="9">
        <f t="shared" ref="H78" si="49">+(F78+G78)*E78</f>
        <v>280</v>
      </c>
      <c r="I78" s="8" t="s">
        <v>49</v>
      </c>
      <c r="K78" t="s">
        <v>57</v>
      </c>
      <c r="L78">
        <v>1</v>
      </c>
    </row>
    <row r="79" spans="1:12" x14ac:dyDescent="0.1">
      <c r="A79" s="13">
        <v>46178</v>
      </c>
      <c r="B79" s="14">
        <v>4561</v>
      </c>
      <c r="C79" s="50" t="s">
        <v>59</v>
      </c>
      <c r="D79" s="7" t="s">
        <v>10</v>
      </c>
      <c r="E79" s="9">
        <v>1</v>
      </c>
      <c r="F79" s="9">
        <v>280</v>
      </c>
      <c r="G79" s="9">
        <v>0</v>
      </c>
      <c r="H79" s="9">
        <f t="shared" si="48"/>
        <v>280</v>
      </c>
      <c r="I79" s="8" t="s">
        <v>49</v>
      </c>
      <c r="K79" t="s">
        <v>57</v>
      </c>
      <c r="L79">
        <v>1</v>
      </c>
    </row>
    <row r="80" spans="1:12" x14ac:dyDescent="0.1">
      <c r="A80" s="13">
        <v>46178</v>
      </c>
      <c r="B80" s="14">
        <v>4579</v>
      </c>
      <c r="C80" s="50" t="s">
        <v>61</v>
      </c>
      <c r="D80" s="7" t="s">
        <v>10</v>
      </c>
      <c r="E80" s="9">
        <v>1</v>
      </c>
      <c r="F80" s="9">
        <v>280</v>
      </c>
      <c r="G80" s="9">
        <v>0</v>
      </c>
      <c r="H80" s="9">
        <f t="shared" ref="H80" si="50">+(F80+G80)*E80</f>
        <v>280</v>
      </c>
      <c r="I80" s="8" t="s">
        <v>49</v>
      </c>
      <c r="K80" t="s">
        <v>57</v>
      </c>
      <c r="L80">
        <v>1</v>
      </c>
    </row>
    <row r="81" spans="1:14" x14ac:dyDescent="0.1">
      <c r="A81" s="13">
        <v>46179</v>
      </c>
      <c r="B81" s="14">
        <v>4580</v>
      </c>
      <c r="C81" s="50" t="s">
        <v>61</v>
      </c>
      <c r="D81" s="7" t="s">
        <v>10</v>
      </c>
      <c r="E81" s="9">
        <v>1</v>
      </c>
      <c r="F81" s="9">
        <v>280</v>
      </c>
      <c r="G81" s="9">
        <v>0</v>
      </c>
      <c r="H81" s="9">
        <f t="shared" ref="H81:H83" si="51">+(F81+G81)*E81</f>
        <v>280</v>
      </c>
      <c r="I81" s="8" t="s">
        <v>49</v>
      </c>
      <c r="K81" t="s">
        <v>57</v>
      </c>
      <c r="L81">
        <v>1</v>
      </c>
    </row>
    <row r="82" spans="1:14" x14ac:dyDescent="0.1">
      <c r="A82" s="13">
        <v>46179</v>
      </c>
      <c r="B82" s="14">
        <v>4588</v>
      </c>
      <c r="C82" s="50" t="s">
        <v>64</v>
      </c>
      <c r="D82" s="7" t="s">
        <v>10</v>
      </c>
      <c r="E82" s="9">
        <v>1</v>
      </c>
      <c r="F82" s="9">
        <v>280</v>
      </c>
      <c r="G82" s="9">
        <v>0</v>
      </c>
      <c r="H82" s="9">
        <f t="shared" si="51"/>
        <v>280</v>
      </c>
      <c r="I82" s="8" t="s">
        <v>49</v>
      </c>
      <c r="K82" t="s">
        <v>57</v>
      </c>
    </row>
    <row r="83" spans="1:14" x14ac:dyDescent="0.1">
      <c r="A83" s="13">
        <v>46179</v>
      </c>
      <c r="B83" s="14">
        <v>4589</v>
      </c>
      <c r="C83" s="50" t="s">
        <v>59</v>
      </c>
      <c r="D83" s="7" t="s">
        <v>10</v>
      </c>
      <c r="E83" s="9">
        <v>1</v>
      </c>
      <c r="F83" s="9">
        <v>280</v>
      </c>
      <c r="G83" s="9">
        <v>0</v>
      </c>
      <c r="H83" s="9">
        <f t="shared" si="51"/>
        <v>280</v>
      </c>
      <c r="I83" s="8" t="s">
        <v>49</v>
      </c>
      <c r="K83" t="s">
        <v>57</v>
      </c>
      <c r="L83">
        <v>1</v>
      </c>
    </row>
    <row r="84" spans="1:14" x14ac:dyDescent="0.1">
      <c r="A84" s="13">
        <v>46179</v>
      </c>
      <c r="B84" s="14">
        <v>3545</v>
      </c>
      <c r="C84" s="50" t="s">
        <v>33</v>
      </c>
      <c r="D84" s="7" t="s">
        <v>10</v>
      </c>
      <c r="E84" s="9">
        <v>1</v>
      </c>
      <c r="F84" s="9">
        <v>280</v>
      </c>
      <c r="G84" s="9">
        <v>0</v>
      </c>
      <c r="H84" s="9">
        <f t="shared" ref="H84" si="52">+(F84+G84)*E84</f>
        <v>280</v>
      </c>
      <c r="I84" s="8" t="s">
        <v>49</v>
      </c>
      <c r="K84" t="s">
        <v>57</v>
      </c>
      <c r="L84">
        <v>0.5</v>
      </c>
    </row>
    <row r="85" spans="1:14" ht="14.25" x14ac:dyDescent="0.15">
      <c r="A85" s="13"/>
      <c r="B85" s="14"/>
      <c r="C85" s="7"/>
      <c r="D85" s="12" t="s">
        <v>7</v>
      </c>
      <c r="E85" s="11">
        <v>21</v>
      </c>
      <c r="F85" s="4"/>
      <c r="G85" s="4"/>
      <c r="H85" s="5">
        <f>SUM(H64:H84)</f>
        <v>5880</v>
      </c>
      <c r="I85" s="6" t="s">
        <v>68</v>
      </c>
      <c r="L85">
        <f>SUM(L64:L84)</f>
        <v>18.939999999999998</v>
      </c>
      <c r="M85" s="52">
        <f>+E85-L85</f>
        <v>2.0600000000000023</v>
      </c>
      <c r="N85" s="52">
        <f>+E63+E85</f>
        <v>39.879999999999995</v>
      </c>
    </row>
    <row r="86" spans="1:14" x14ac:dyDescent="0.1">
      <c r="A86" s="13">
        <v>46181</v>
      </c>
      <c r="B86" s="14">
        <v>4582</v>
      </c>
      <c r="C86" s="8" t="s">
        <v>61</v>
      </c>
      <c r="D86" s="7" t="s">
        <v>10</v>
      </c>
      <c r="E86" s="9">
        <v>1</v>
      </c>
      <c r="F86" s="9">
        <v>280</v>
      </c>
      <c r="G86" s="9">
        <v>0</v>
      </c>
      <c r="H86" s="9">
        <f t="shared" ref="H86:H88" si="53">+(F86+G86)*E86</f>
        <v>280</v>
      </c>
      <c r="I86" s="8" t="s">
        <v>49</v>
      </c>
    </row>
    <row r="87" spans="1:14" x14ac:dyDescent="0.1">
      <c r="A87" s="13">
        <v>46181</v>
      </c>
      <c r="B87" s="14">
        <v>4590</v>
      </c>
      <c r="C87" s="8" t="s">
        <v>64</v>
      </c>
      <c r="D87" s="7" t="s">
        <v>10</v>
      </c>
      <c r="E87" s="9">
        <v>1</v>
      </c>
      <c r="F87" s="9">
        <v>280</v>
      </c>
      <c r="G87" s="9">
        <v>0</v>
      </c>
      <c r="H87" s="9">
        <f t="shared" si="53"/>
        <v>280</v>
      </c>
      <c r="I87" s="8" t="s">
        <v>49</v>
      </c>
    </row>
    <row r="88" spans="1:14" x14ac:dyDescent="0.1">
      <c r="A88" s="13">
        <v>46181</v>
      </c>
      <c r="B88" s="14">
        <v>3546</v>
      </c>
      <c r="C88" s="8" t="s">
        <v>33</v>
      </c>
      <c r="D88" s="7" t="s">
        <v>10</v>
      </c>
      <c r="E88" s="9">
        <v>1</v>
      </c>
      <c r="F88" s="9">
        <v>280</v>
      </c>
      <c r="G88" s="9">
        <v>0</v>
      </c>
      <c r="H88" s="9">
        <f t="shared" si="53"/>
        <v>280</v>
      </c>
      <c r="I88" s="8" t="s">
        <v>49</v>
      </c>
    </row>
    <row r="89" spans="1:14" x14ac:dyDescent="0.1">
      <c r="A89" s="13">
        <v>46182</v>
      </c>
      <c r="B89" s="14">
        <v>3547</v>
      </c>
      <c r="C89" s="8" t="s">
        <v>33</v>
      </c>
      <c r="D89" s="7" t="s">
        <v>10</v>
      </c>
      <c r="E89" s="9">
        <v>0.5</v>
      </c>
      <c r="F89" s="9">
        <v>280</v>
      </c>
      <c r="G89" s="9">
        <v>0</v>
      </c>
      <c r="H89" s="9">
        <f t="shared" ref="H89" si="54">+(F89+G89)*E89</f>
        <v>140</v>
      </c>
      <c r="I89" s="8" t="s">
        <v>49</v>
      </c>
    </row>
    <row r="90" spans="1:14" x14ac:dyDescent="0.1">
      <c r="A90" s="13">
        <v>46182</v>
      </c>
      <c r="B90" s="14">
        <v>3548</v>
      </c>
      <c r="C90" s="8" t="s">
        <v>59</v>
      </c>
      <c r="D90" s="7" t="s">
        <v>10</v>
      </c>
      <c r="E90" s="9">
        <v>1</v>
      </c>
      <c r="F90" s="9">
        <v>280</v>
      </c>
      <c r="G90" s="9">
        <v>0</v>
      </c>
      <c r="H90" s="9">
        <f>+(F90+G90)*E90</f>
        <v>280</v>
      </c>
      <c r="I90" s="8" t="s">
        <v>49</v>
      </c>
    </row>
    <row r="91" spans="1:14" x14ac:dyDescent="0.1">
      <c r="A91" s="13">
        <v>46182</v>
      </c>
      <c r="B91" s="14">
        <v>4544</v>
      </c>
      <c r="C91" s="8" t="s">
        <v>65</v>
      </c>
      <c r="D91" s="7" t="s">
        <v>10</v>
      </c>
      <c r="E91" s="9">
        <v>1</v>
      </c>
      <c r="F91" s="9">
        <v>280</v>
      </c>
      <c r="G91" s="9">
        <v>0</v>
      </c>
      <c r="H91" s="9">
        <f t="shared" ref="H91" si="55">+(F91+G91)*E91</f>
        <v>280</v>
      </c>
      <c r="I91" s="8" t="s">
        <v>49</v>
      </c>
    </row>
    <row r="92" spans="1:14" x14ac:dyDescent="0.1">
      <c r="A92" s="13">
        <v>46182</v>
      </c>
      <c r="B92" s="14">
        <v>4591</v>
      </c>
      <c r="C92" s="8" t="s">
        <v>64</v>
      </c>
      <c r="D92" s="7" t="s">
        <v>10</v>
      </c>
      <c r="E92" s="9">
        <v>1</v>
      </c>
      <c r="F92" s="9">
        <v>280</v>
      </c>
      <c r="G92" s="9">
        <v>0</v>
      </c>
      <c r="H92" s="9">
        <f t="shared" ref="H92" si="56">+(F92+G92)*E92</f>
        <v>280</v>
      </c>
      <c r="I92" s="8" t="s">
        <v>49</v>
      </c>
    </row>
    <row r="93" spans="1:14" x14ac:dyDescent="0.1">
      <c r="A93" s="13">
        <v>46182</v>
      </c>
      <c r="B93" s="14">
        <v>4592</v>
      </c>
      <c r="C93" s="8" t="s">
        <v>61</v>
      </c>
      <c r="D93" s="7" t="s">
        <v>10</v>
      </c>
      <c r="E93" s="9">
        <v>1</v>
      </c>
      <c r="F93" s="9">
        <v>280</v>
      </c>
      <c r="G93" s="9">
        <v>0</v>
      </c>
      <c r="H93" s="9">
        <f t="shared" ref="H93:H95" si="57">+(F93+G93)*E93</f>
        <v>280</v>
      </c>
      <c r="I93" s="8" t="s">
        <v>49</v>
      </c>
    </row>
    <row r="94" spans="1:14" x14ac:dyDescent="0.1">
      <c r="A94" s="13">
        <v>46182</v>
      </c>
      <c r="B94" s="14">
        <v>35691</v>
      </c>
      <c r="C94" s="8" t="s">
        <v>33</v>
      </c>
      <c r="D94" s="7" t="s">
        <v>34</v>
      </c>
      <c r="E94" s="9">
        <v>14</v>
      </c>
      <c r="F94" s="9">
        <v>0</v>
      </c>
      <c r="G94" s="9">
        <v>14.5</v>
      </c>
      <c r="H94" s="9">
        <f t="shared" si="57"/>
        <v>203</v>
      </c>
      <c r="I94" s="8" t="s">
        <v>35</v>
      </c>
      <c r="K94" t="s">
        <v>57</v>
      </c>
    </row>
    <row r="95" spans="1:14" x14ac:dyDescent="0.1">
      <c r="A95" s="13">
        <v>46183</v>
      </c>
      <c r="B95" s="14">
        <v>4545</v>
      </c>
      <c r="C95" s="8" t="s">
        <v>65</v>
      </c>
      <c r="D95" s="7" t="s">
        <v>10</v>
      </c>
      <c r="E95" s="9">
        <v>1</v>
      </c>
      <c r="F95" s="9">
        <v>280</v>
      </c>
      <c r="G95" s="9">
        <v>0</v>
      </c>
      <c r="H95" s="9">
        <f t="shared" si="57"/>
        <v>280</v>
      </c>
      <c r="I95" s="8" t="s">
        <v>49</v>
      </c>
    </row>
    <row r="96" spans="1:14" x14ac:dyDescent="0.1">
      <c r="A96" s="13">
        <v>46183</v>
      </c>
      <c r="B96" s="14">
        <v>4549</v>
      </c>
      <c r="C96" s="8" t="s">
        <v>59</v>
      </c>
      <c r="D96" s="7" t="s">
        <v>10</v>
      </c>
      <c r="E96" s="9">
        <v>1</v>
      </c>
      <c r="F96" s="9">
        <v>280</v>
      </c>
      <c r="G96" s="9">
        <v>0</v>
      </c>
      <c r="H96" s="9">
        <f t="shared" ref="H96" si="58">+(F96+G96)*E96</f>
        <v>280</v>
      </c>
      <c r="I96" s="8" t="s">
        <v>49</v>
      </c>
    </row>
    <row r="97" spans="1:12" x14ac:dyDescent="0.1">
      <c r="A97" s="13">
        <v>46183</v>
      </c>
      <c r="B97" s="14">
        <v>4550</v>
      </c>
      <c r="C97" s="8" t="s">
        <v>61</v>
      </c>
      <c r="D97" s="7" t="s">
        <v>10</v>
      </c>
      <c r="E97" s="9">
        <v>1</v>
      </c>
      <c r="F97" s="9">
        <v>280</v>
      </c>
      <c r="G97" s="9">
        <v>0</v>
      </c>
      <c r="H97" s="9">
        <f t="shared" ref="H97" si="59">+(F97+G97)*E97</f>
        <v>280</v>
      </c>
      <c r="I97" s="8" t="s">
        <v>49</v>
      </c>
    </row>
    <row r="98" spans="1:12" x14ac:dyDescent="0.1">
      <c r="A98" s="13">
        <v>46183</v>
      </c>
      <c r="B98" s="14">
        <v>4548</v>
      </c>
      <c r="C98" s="8" t="s">
        <v>64</v>
      </c>
      <c r="D98" s="7" t="s">
        <v>10</v>
      </c>
      <c r="E98" s="9">
        <v>1</v>
      </c>
      <c r="F98" s="9">
        <v>280</v>
      </c>
      <c r="G98" s="9">
        <v>0</v>
      </c>
      <c r="H98" s="9">
        <f t="shared" ref="H98" si="60">+(F98+G98)*E98</f>
        <v>280</v>
      </c>
      <c r="I98" s="8" t="s">
        <v>49</v>
      </c>
    </row>
    <row r="99" spans="1:12" x14ac:dyDescent="0.1">
      <c r="A99" s="13">
        <v>46183</v>
      </c>
      <c r="B99" s="14">
        <v>3901</v>
      </c>
      <c r="C99" s="8" t="s">
        <v>33</v>
      </c>
      <c r="D99" s="7" t="s">
        <v>10</v>
      </c>
      <c r="E99" s="9">
        <v>1</v>
      </c>
      <c r="F99" s="9">
        <v>280</v>
      </c>
      <c r="G99" s="9">
        <v>0</v>
      </c>
      <c r="H99" s="9">
        <f t="shared" ref="H99" si="61">+(F99+G99)*E99</f>
        <v>280</v>
      </c>
      <c r="I99" s="8" t="s">
        <v>49</v>
      </c>
    </row>
    <row r="100" spans="1:12" x14ac:dyDescent="0.1">
      <c r="A100" s="13">
        <v>46184</v>
      </c>
      <c r="B100" s="14">
        <v>3549</v>
      </c>
      <c r="C100" s="8" t="s">
        <v>59</v>
      </c>
      <c r="D100" s="7" t="s">
        <v>10</v>
      </c>
      <c r="E100" s="9">
        <v>1</v>
      </c>
      <c r="F100" s="9">
        <v>280</v>
      </c>
      <c r="G100" s="9">
        <v>0</v>
      </c>
      <c r="H100" s="9">
        <f t="shared" ref="H100:H106" si="62">+(F100+G100)*E100</f>
        <v>280</v>
      </c>
      <c r="I100" s="8" t="s">
        <v>49</v>
      </c>
    </row>
    <row r="101" spans="1:12" x14ac:dyDescent="0.1">
      <c r="A101" s="13">
        <v>46184</v>
      </c>
      <c r="B101" s="14">
        <v>3910</v>
      </c>
      <c r="C101" s="8" t="s">
        <v>33</v>
      </c>
      <c r="D101" s="7" t="s">
        <v>10</v>
      </c>
      <c r="E101" s="9">
        <v>1</v>
      </c>
      <c r="F101" s="9">
        <v>280</v>
      </c>
      <c r="G101" s="9">
        <v>0</v>
      </c>
      <c r="H101" s="9">
        <f t="shared" si="62"/>
        <v>280</v>
      </c>
      <c r="I101" s="8" t="s">
        <v>49</v>
      </c>
    </row>
    <row r="102" spans="1:12" x14ac:dyDescent="0.1">
      <c r="A102" s="13">
        <v>46184</v>
      </c>
      <c r="B102" s="14">
        <v>4546</v>
      </c>
      <c r="C102" s="8" t="s">
        <v>65</v>
      </c>
      <c r="D102" s="7" t="s">
        <v>10</v>
      </c>
      <c r="E102" s="9">
        <v>1</v>
      </c>
      <c r="F102" s="9">
        <v>280</v>
      </c>
      <c r="G102" s="9">
        <v>0</v>
      </c>
      <c r="H102" s="9">
        <f t="shared" si="62"/>
        <v>280</v>
      </c>
      <c r="I102" s="8" t="s">
        <v>49</v>
      </c>
    </row>
    <row r="103" spans="1:12" x14ac:dyDescent="0.1">
      <c r="A103" s="13">
        <v>46184</v>
      </c>
      <c r="B103" s="14">
        <v>3906</v>
      </c>
      <c r="C103" s="8" t="s">
        <v>64</v>
      </c>
      <c r="D103" s="7" t="s">
        <v>10</v>
      </c>
      <c r="E103" s="9">
        <v>1</v>
      </c>
      <c r="F103" s="9">
        <v>280</v>
      </c>
      <c r="G103" s="9">
        <v>0</v>
      </c>
      <c r="H103" s="9">
        <f t="shared" si="62"/>
        <v>280</v>
      </c>
      <c r="I103" s="8" t="s">
        <v>49</v>
      </c>
      <c r="L103">
        <f>8386-8246</f>
        <v>140</v>
      </c>
    </row>
    <row r="104" spans="1:12" x14ac:dyDescent="0.1">
      <c r="A104" s="13">
        <v>46184</v>
      </c>
      <c r="B104" s="14">
        <v>4551</v>
      </c>
      <c r="C104" s="8" t="s">
        <v>61</v>
      </c>
      <c r="D104" s="7" t="s">
        <v>10</v>
      </c>
      <c r="E104" s="9">
        <v>1</v>
      </c>
      <c r="F104" s="9">
        <v>280</v>
      </c>
      <c r="G104" s="9">
        <v>0</v>
      </c>
      <c r="H104" s="9">
        <f t="shared" si="62"/>
        <v>280</v>
      </c>
      <c r="I104" s="8" t="s">
        <v>49</v>
      </c>
    </row>
    <row r="105" spans="1:12" x14ac:dyDescent="0.1">
      <c r="A105" s="13">
        <v>46185</v>
      </c>
      <c r="B105" s="14">
        <v>3550</v>
      </c>
      <c r="C105" s="8" t="s">
        <v>59</v>
      </c>
      <c r="D105" s="7" t="s">
        <v>10</v>
      </c>
      <c r="E105" s="9">
        <v>1</v>
      </c>
      <c r="F105" s="9">
        <v>280</v>
      </c>
      <c r="G105" s="9">
        <v>0</v>
      </c>
      <c r="H105" s="9">
        <f t="shared" si="62"/>
        <v>280</v>
      </c>
      <c r="I105" s="8" t="s">
        <v>49</v>
      </c>
    </row>
    <row r="106" spans="1:12" x14ac:dyDescent="0.1">
      <c r="A106" s="13">
        <v>46185</v>
      </c>
      <c r="B106" s="14">
        <v>3909</v>
      </c>
      <c r="C106" s="8" t="s">
        <v>64</v>
      </c>
      <c r="D106" s="7" t="s">
        <v>10</v>
      </c>
      <c r="E106" s="9">
        <v>0.5</v>
      </c>
      <c r="F106" s="9">
        <v>280</v>
      </c>
      <c r="G106" s="9">
        <v>0</v>
      </c>
      <c r="H106" s="9">
        <f t="shared" si="62"/>
        <v>140</v>
      </c>
      <c r="I106" s="8" t="s">
        <v>49</v>
      </c>
    </row>
    <row r="107" spans="1:12" x14ac:dyDescent="0.1">
      <c r="A107" s="13">
        <v>46185</v>
      </c>
      <c r="B107" s="14">
        <v>4552</v>
      </c>
      <c r="C107" s="8" t="s">
        <v>61</v>
      </c>
      <c r="D107" s="7" t="s">
        <v>10</v>
      </c>
      <c r="E107" s="9">
        <v>1</v>
      </c>
      <c r="F107" s="9">
        <v>280</v>
      </c>
      <c r="G107" s="9">
        <v>0</v>
      </c>
      <c r="H107" s="9">
        <f t="shared" ref="H107" si="63">+(F107+G107)*E107</f>
        <v>280</v>
      </c>
      <c r="I107" s="8" t="s">
        <v>49</v>
      </c>
    </row>
    <row r="108" spans="1:12" x14ac:dyDescent="0.1">
      <c r="A108" s="13">
        <v>46185</v>
      </c>
      <c r="B108" s="14">
        <v>3911</v>
      </c>
      <c r="C108" s="8" t="s">
        <v>33</v>
      </c>
      <c r="D108" s="7" t="s">
        <v>10</v>
      </c>
      <c r="E108" s="9">
        <v>1</v>
      </c>
      <c r="F108" s="9">
        <v>280</v>
      </c>
      <c r="G108" s="9">
        <v>0</v>
      </c>
      <c r="H108" s="9">
        <f t="shared" ref="H108" si="64">+(F108+G108)*E108</f>
        <v>280</v>
      </c>
      <c r="I108" s="8" t="s">
        <v>49</v>
      </c>
    </row>
    <row r="109" spans="1:12" x14ac:dyDescent="0.1">
      <c r="A109" s="13">
        <v>46185</v>
      </c>
      <c r="B109" s="14">
        <v>3912</v>
      </c>
      <c r="C109" s="8" t="s">
        <v>58</v>
      </c>
      <c r="D109" s="7" t="s">
        <v>10</v>
      </c>
      <c r="E109" s="9">
        <v>1</v>
      </c>
      <c r="F109" s="9">
        <v>280</v>
      </c>
      <c r="G109" s="9">
        <v>0</v>
      </c>
      <c r="H109" s="9">
        <f t="shared" ref="H109:H112" si="65">+(F109+G109)*E109</f>
        <v>280</v>
      </c>
      <c r="I109" s="8" t="s">
        <v>49</v>
      </c>
    </row>
    <row r="110" spans="1:12" x14ac:dyDescent="0.1">
      <c r="A110" s="13">
        <v>46185</v>
      </c>
      <c r="B110" s="14">
        <v>4547</v>
      </c>
      <c r="C110" s="8" t="s">
        <v>65</v>
      </c>
      <c r="D110" s="7" t="s">
        <v>10</v>
      </c>
      <c r="E110" s="9">
        <v>1</v>
      </c>
      <c r="F110" s="9">
        <v>280</v>
      </c>
      <c r="G110" s="9">
        <v>0</v>
      </c>
      <c r="H110" s="9">
        <f t="shared" ref="H110:H111" si="66">+(F110+G110)*E110</f>
        <v>280</v>
      </c>
      <c r="I110" s="8" t="s">
        <v>49</v>
      </c>
    </row>
    <row r="111" spans="1:12" x14ac:dyDescent="0.1">
      <c r="A111" s="13">
        <v>46185</v>
      </c>
      <c r="B111" s="14">
        <v>35693</v>
      </c>
      <c r="C111" s="8" t="s">
        <v>74</v>
      </c>
      <c r="D111" s="7" t="s">
        <v>34</v>
      </c>
      <c r="E111" s="9">
        <v>14</v>
      </c>
      <c r="F111" s="9">
        <v>0</v>
      </c>
      <c r="G111" s="9">
        <v>14.5</v>
      </c>
      <c r="H111" s="9">
        <f t="shared" si="66"/>
        <v>203</v>
      </c>
      <c r="I111" s="8" t="s">
        <v>35</v>
      </c>
      <c r="K111" t="s">
        <v>57</v>
      </c>
    </row>
    <row r="112" spans="1:12" x14ac:dyDescent="0.1">
      <c r="A112" s="13">
        <v>46186</v>
      </c>
      <c r="B112" s="14">
        <v>3913</v>
      </c>
      <c r="C112" s="8" t="s">
        <v>65</v>
      </c>
      <c r="D112" s="7" t="s">
        <v>10</v>
      </c>
      <c r="E112" s="9">
        <v>1</v>
      </c>
      <c r="F112" s="9">
        <v>280</v>
      </c>
      <c r="G112" s="9">
        <v>0</v>
      </c>
      <c r="H112" s="9">
        <f t="shared" si="65"/>
        <v>280</v>
      </c>
      <c r="I112" s="8" t="s">
        <v>49</v>
      </c>
    </row>
    <row r="113" spans="1:12" x14ac:dyDescent="0.1">
      <c r="A113" s="13">
        <v>46186</v>
      </c>
      <c r="B113" s="14">
        <v>3936</v>
      </c>
      <c r="C113" s="8" t="s">
        <v>33</v>
      </c>
      <c r="D113" s="7" t="s">
        <v>10</v>
      </c>
      <c r="E113" s="9">
        <v>1</v>
      </c>
      <c r="F113" s="9">
        <v>280</v>
      </c>
      <c r="G113" s="9">
        <v>0</v>
      </c>
      <c r="H113" s="9">
        <f t="shared" ref="H113" si="67">+(F113+G113)*E113</f>
        <v>280</v>
      </c>
      <c r="I113" s="8" t="s">
        <v>49</v>
      </c>
    </row>
    <row r="114" spans="1:12" x14ac:dyDescent="0.1">
      <c r="A114" s="13">
        <v>46186</v>
      </c>
      <c r="B114" s="14">
        <v>3930</v>
      </c>
      <c r="C114" s="8" t="s">
        <v>64</v>
      </c>
      <c r="D114" s="7" t="s">
        <v>10</v>
      </c>
      <c r="E114" s="9">
        <v>1</v>
      </c>
      <c r="F114" s="9">
        <v>280</v>
      </c>
      <c r="G114" s="9">
        <v>0</v>
      </c>
      <c r="H114" s="9">
        <f t="shared" ref="H114:H116" si="68">+(F114+G114)*E114</f>
        <v>280</v>
      </c>
      <c r="I114" s="8" t="s">
        <v>49</v>
      </c>
    </row>
    <row r="115" spans="1:12" x14ac:dyDescent="0.1">
      <c r="A115" s="13">
        <v>46186</v>
      </c>
      <c r="B115" s="14">
        <v>4553</v>
      </c>
      <c r="C115" s="8" t="s">
        <v>61</v>
      </c>
      <c r="D115" s="7" t="s">
        <v>10</v>
      </c>
      <c r="E115" s="9">
        <v>1</v>
      </c>
      <c r="F115" s="9">
        <v>280</v>
      </c>
      <c r="G115" s="9">
        <v>0</v>
      </c>
      <c r="H115" s="9">
        <f t="shared" si="68"/>
        <v>280</v>
      </c>
      <c r="I115" s="8" t="s">
        <v>49</v>
      </c>
    </row>
    <row r="116" spans="1:12" x14ac:dyDescent="0.1">
      <c r="A116" s="13">
        <v>46186</v>
      </c>
      <c r="B116" s="14">
        <v>3918</v>
      </c>
      <c r="C116" s="8" t="s">
        <v>59</v>
      </c>
      <c r="D116" s="7" t="s">
        <v>10</v>
      </c>
      <c r="E116" s="9">
        <v>1</v>
      </c>
      <c r="F116" s="9">
        <v>280</v>
      </c>
      <c r="G116" s="9">
        <v>0</v>
      </c>
      <c r="H116" s="9">
        <f t="shared" si="68"/>
        <v>280</v>
      </c>
      <c r="I116" s="8" t="s">
        <v>49</v>
      </c>
    </row>
    <row r="117" spans="1:12" ht="14.25" x14ac:dyDescent="0.15">
      <c r="A117" s="13"/>
      <c r="B117" s="14"/>
      <c r="C117" s="7"/>
      <c r="D117" s="12" t="s">
        <v>7</v>
      </c>
      <c r="E117" s="11"/>
      <c r="F117" s="4"/>
      <c r="G117" s="4"/>
      <c r="H117" s="5">
        <f>SUM(H86:H116)</f>
        <v>8246</v>
      </c>
      <c r="I117" s="6" t="s">
        <v>70</v>
      </c>
      <c r="L117">
        <f>8008+7700</f>
        <v>15708</v>
      </c>
    </row>
    <row r="118" spans="1:12" x14ac:dyDescent="0.1">
      <c r="A118" s="13">
        <v>46188</v>
      </c>
      <c r="B118" s="14">
        <v>3931</v>
      </c>
      <c r="C118" s="8" t="s">
        <v>64</v>
      </c>
      <c r="D118" s="7" t="s">
        <v>10</v>
      </c>
      <c r="E118" s="9">
        <v>1</v>
      </c>
      <c r="F118" s="9">
        <v>280</v>
      </c>
      <c r="G118" s="9">
        <v>0</v>
      </c>
      <c r="H118" s="9">
        <f t="shared" ref="H118:H123" si="69">+(F118+G118)*E118</f>
        <v>280</v>
      </c>
      <c r="I118" s="8" t="s">
        <v>49</v>
      </c>
      <c r="L118">
        <f>+L117/280</f>
        <v>56.1</v>
      </c>
    </row>
    <row r="119" spans="1:12" x14ac:dyDescent="0.1">
      <c r="A119" s="13">
        <v>46188</v>
      </c>
      <c r="B119" s="14">
        <v>3937</v>
      </c>
      <c r="C119" s="8" t="s">
        <v>33</v>
      </c>
      <c r="D119" s="7" t="s">
        <v>10</v>
      </c>
      <c r="E119" s="9">
        <v>1</v>
      </c>
      <c r="F119" s="9">
        <v>280</v>
      </c>
      <c r="G119" s="9">
        <v>0</v>
      </c>
      <c r="H119" s="9">
        <f t="shared" si="69"/>
        <v>280</v>
      </c>
      <c r="I119" s="8" t="s">
        <v>49</v>
      </c>
    </row>
    <row r="120" spans="1:12" x14ac:dyDescent="0.1">
      <c r="A120" s="13">
        <v>46188</v>
      </c>
      <c r="B120" s="14">
        <v>35694</v>
      </c>
      <c r="C120" s="8" t="s">
        <v>33</v>
      </c>
      <c r="D120" s="7" t="s">
        <v>34</v>
      </c>
      <c r="E120" s="9">
        <v>14</v>
      </c>
      <c r="F120" s="9">
        <v>0</v>
      </c>
      <c r="G120" s="9">
        <v>13.5</v>
      </c>
      <c r="H120" s="9">
        <f t="shared" si="69"/>
        <v>189</v>
      </c>
      <c r="I120" s="8" t="s">
        <v>75</v>
      </c>
      <c r="K120" t="s">
        <v>57</v>
      </c>
    </row>
    <row r="121" spans="1:12" x14ac:dyDescent="0.1">
      <c r="A121" s="13">
        <v>46186</v>
      </c>
      <c r="B121" s="14">
        <v>3914</v>
      </c>
      <c r="C121" s="8" t="s">
        <v>65</v>
      </c>
      <c r="D121" s="7" t="s">
        <v>10</v>
      </c>
      <c r="E121" s="9">
        <v>1</v>
      </c>
      <c r="F121" s="9">
        <v>280</v>
      </c>
      <c r="G121" s="9">
        <v>0</v>
      </c>
      <c r="H121" s="9">
        <f t="shared" si="69"/>
        <v>280</v>
      </c>
      <c r="I121" s="8" t="s">
        <v>49</v>
      </c>
    </row>
    <row r="122" spans="1:12" x14ac:dyDescent="0.1">
      <c r="A122" s="13">
        <v>46188</v>
      </c>
      <c r="B122" s="14">
        <v>3903</v>
      </c>
      <c r="C122" s="8" t="s">
        <v>61</v>
      </c>
      <c r="D122" s="7" t="s">
        <v>10</v>
      </c>
      <c r="E122" s="9">
        <v>1</v>
      </c>
      <c r="F122" s="9">
        <v>280</v>
      </c>
      <c r="G122" s="9">
        <v>0</v>
      </c>
      <c r="H122" s="9">
        <f t="shared" si="69"/>
        <v>280</v>
      </c>
      <c r="I122" s="8" t="s">
        <v>49</v>
      </c>
    </row>
    <row r="123" spans="1:12" x14ac:dyDescent="0.1">
      <c r="A123" s="13">
        <v>46188</v>
      </c>
      <c r="B123" s="14">
        <v>3920</v>
      </c>
      <c r="C123" s="8" t="s">
        <v>59</v>
      </c>
      <c r="D123" s="7" t="s">
        <v>10</v>
      </c>
      <c r="E123" s="9">
        <v>1</v>
      </c>
      <c r="F123" s="9">
        <v>280</v>
      </c>
      <c r="G123" s="9">
        <v>0</v>
      </c>
      <c r="H123" s="9">
        <f t="shared" si="69"/>
        <v>280</v>
      </c>
      <c r="I123" s="8" t="s">
        <v>49</v>
      </c>
    </row>
    <row r="124" spans="1:12" x14ac:dyDescent="0.1">
      <c r="A124" s="13">
        <v>46189</v>
      </c>
      <c r="B124" s="14">
        <v>3905</v>
      </c>
      <c r="C124" s="8" t="s">
        <v>61</v>
      </c>
      <c r="D124" s="7" t="s">
        <v>10</v>
      </c>
      <c r="E124" s="9">
        <v>1</v>
      </c>
      <c r="F124" s="9">
        <v>280</v>
      </c>
      <c r="G124" s="9">
        <v>0</v>
      </c>
      <c r="H124" s="9">
        <f t="shared" ref="H124" si="70">+(F124+G124)*E124</f>
        <v>280</v>
      </c>
      <c r="I124" s="8" t="s">
        <v>49</v>
      </c>
    </row>
    <row r="125" spans="1:12" x14ac:dyDescent="0.1">
      <c r="A125" s="13">
        <v>46189</v>
      </c>
      <c r="B125" s="14">
        <v>3932</v>
      </c>
      <c r="C125" s="8" t="s">
        <v>64</v>
      </c>
      <c r="D125" s="7" t="s">
        <v>10</v>
      </c>
      <c r="E125" s="9">
        <v>1</v>
      </c>
      <c r="F125" s="9">
        <v>280</v>
      </c>
      <c r="G125" s="9">
        <v>0</v>
      </c>
      <c r="H125" s="9">
        <f t="shared" ref="H125" si="71">+(F125+G125)*E125</f>
        <v>280</v>
      </c>
      <c r="I125" s="8" t="s">
        <v>49</v>
      </c>
    </row>
    <row r="126" spans="1:12" x14ac:dyDescent="0.1">
      <c r="A126" s="13">
        <v>46189</v>
      </c>
      <c r="B126" s="14">
        <v>3938</v>
      </c>
      <c r="C126" s="8" t="s">
        <v>33</v>
      </c>
      <c r="D126" s="7" t="s">
        <v>10</v>
      </c>
      <c r="E126" s="9">
        <v>1</v>
      </c>
      <c r="F126" s="9">
        <v>280</v>
      </c>
      <c r="G126" s="9">
        <v>0</v>
      </c>
      <c r="H126" s="9">
        <f t="shared" ref="H126" si="72">+(F126+G126)*E126</f>
        <v>280</v>
      </c>
      <c r="I126" s="8" t="s">
        <v>49</v>
      </c>
    </row>
    <row r="127" spans="1:12" x14ac:dyDescent="0.1">
      <c r="A127" s="13">
        <v>46189</v>
      </c>
      <c r="B127" s="14">
        <v>3915</v>
      </c>
      <c r="C127" s="8" t="s">
        <v>65</v>
      </c>
      <c r="D127" s="7" t="s">
        <v>10</v>
      </c>
      <c r="E127" s="9">
        <v>1</v>
      </c>
      <c r="F127" s="9">
        <v>280</v>
      </c>
      <c r="G127" s="9">
        <v>0</v>
      </c>
      <c r="H127" s="9">
        <f t="shared" ref="H127" si="73">+(F127+G127)*E127</f>
        <v>280</v>
      </c>
      <c r="I127" s="8" t="s">
        <v>49</v>
      </c>
    </row>
    <row r="128" spans="1:12" x14ac:dyDescent="0.1">
      <c r="A128" s="13">
        <v>46189</v>
      </c>
      <c r="B128" s="14">
        <v>3921</v>
      </c>
      <c r="C128" s="8" t="s">
        <v>59</v>
      </c>
      <c r="D128" s="7" t="s">
        <v>10</v>
      </c>
      <c r="E128" s="9">
        <v>1</v>
      </c>
      <c r="F128" s="9">
        <v>280</v>
      </c>
      <c r="G128" s="9">
        <v>0</v>
      </c>
      <c r="H128" s="9">
        <f t="shared" ref="H128" si="74">+(F128+G128)*E128</f>
        <v>280</v>
      </c>
      <c r="I128" s="8" t="s">
        <v>49</v>
      </c>
    </row>
    <row r="129" spans="1:11" x14ac:dyDescent="0.1">
      <c r="A129" s="13">
        <v>46190</v>
      </c>
      <c r="B129" s="14">
        <v>4369</v>
      </c>
      <c r="C129" s="8" t="s">
        <v>50</v>
      </c>
      <c r="D129" s="7" t="s">
        <v>10</v>
      </c>
      <c r="E129" s="9">
        <v>1</v>
      </c>
      <c r="F129" s="9">
        <v>280</v>
      </c>
      <c r="G129" s="9">
        <v>0</v>
      </c>
      <c r="H129" s="9">
        <f t="shared" ref="H129:H130" si="75">+(F129+G129)*E129</f>
        <v>280</v>
      </c>
      <c r="I129" s="8" t="s">
        <v>49</v>
      </c>
    </row>
    <row r="130" spans="1:11" x14ac:dyDescent="0.1">
      <c r="A130" s="13">
        <v>46190</v>
      </c>
      <c r="B130" s="14">
        <v>3945</v>
      </c>
      <c r="C130" s="8" t="s">
        <v>33</v>
      </c>
      <c r="D130" s="7" t="s">
        <v>10</v>
      </c>
      <c r="E130" s="9">
        <v>1</v>
      </c>
      <c r="F130" s="9">
        <v>280</v>
      </c>
      <c r="G130" s="9">
        <v>0</v>
      </c>
      <c r="H130" s="9">
        <f t="shared" si="75"/>
        <v>280</v>
      </c>
      <c r="I130" s="8" t="s">
        <v>49</v>
      </c>
    </row>
    <row r="131" spans="1:11" x14ac:dyDescent="0.1">
      <c r="A131" s="13">
        <v>46190</v>
      </c>
      <c r="B131" s="14">
        <v>3934</v>
      </c>
      <c r="C131" s="8" t="s">
        <v>64</v>
      </c>
      <c r="D131" s="7" t="s">
        <v>10</v>
      </c>
      <c r="E131" s="9">
        <v>1</v>
      </c>
      <c r="F131" s="9">
        <v>280</v>
      </c>
      <c r="G131" s="9">
        <v>0</v>
      </c>
      <c r="H131" s="9">
        <f t="shared" ref="H131:H133" si="76">+(F131+G131)*E131</f>
        <v>280</v>
      </c>
      <c r="I131" s="8" t="s">
        <v>49</v>
      </c>
    </row>
    <row r="132" spans="1:11" x14ac:dyDescent="0.1">
      <c r="A132" s="13">
        <v>46190</v>
      </c>
      <c r="B132" s="14">
        <v>3924</v>
      </c>
      <c r="C132" s="8" t="s">
        <v>61</v>
      </c>
      <c r="D132" s="7" t="s">
        <v>10</v>
      </c>
      <c r="E132" s="9">
        <v>1</v>
      </c>
      <c r="F132" s="9">
        <v>280</v>
      </c>
      <c r="G132" s="9">
        <v>0</v>
      </c>
      <c r="H132" s="9">
        <f t="shared" si="76"/>
        <v>280</v>
      </c>
      <c r="I132" s="8" t="s">
        <v>49</v>
      </c>
    </row>
    <row r="133" spans="1:11" x14ac:dyDescent="0.1">
      <c r="A133" s="13">
        <v>46190</v>
      </c>
      <c r="B133" s="14">
        <v>3917</v>
      </c>
      <c r="C133" s="8" t="s">
        <v>65</v>
      </c>
      <c r="D133" s="7" t="s">
        <v>10</v>
      </c>
      <c r="E133" s="9">
        <v>1</v>
      </c>
      <c r="F133" s="9">
        <v>280</v>
      </c>
      <c r="G133" s="9">
        <v>0</v>
      </c>
      <c r="H133" s="9">
        <f t="shared" si="76"/>
        <v>280</v>
      </c>
      <c r="I133" s="8" t="s">
        <v>49</v>
      </c>
    </row>
    <row r="134" spans="1:11" x14ac:dyDescent="0.1">
      <c r="A134" s="13">
        <v>46191</v>
      </c>
      <c r="B134" s="14">
        <v>3916</v>
      </c>
      <c r="C134" s="8" t="s">
        <v>65</v>
      </c>
      <c r="D134" s="7" t="s">
        <v>10</v>
      </c>
      <c r="E134" s="9">
        <v>1</v>
      </c>
      <c r="F134" s="9">
        <v>280</v>
      </c>
      <c r="G134" s="9">
        <v>0</v>
      </c>
      <c r="H134" s="9">
        <f t="shared" ref="H134" si="77">+(F134+G134)*E134</f>
        <v>280</v>
      </c>
      <c r="I134" s="8" t="s">
        <v>49</v>
      </c>
    </row>
    <row r="135" spans="1:11" x14ac:dyDescent="0.1">
      <c r="A135" s="13">
        <v>46191</v>
      </c>
      <c r="B135" s="14">
        <v>3925</v>
      </c>
      <c r="C135" s="8" t="s">
        <v>61</v>
      </c>
      <c r="D135" s="7" t="s">
        <v>10</v>
      </c>
      <c r="E135" s="9">
        <v>1</v>
      </c>
      <c r="F135" s="9">
        <v>280</v>
      </c>
      <c r="G135" s="9">
        <v>0</v>
      </c>
      <c r="H135" s="9">
        <f t="shared" ref="H135" si="78">+(F135+G135)*E135</f>
        <v>280</v>
      </c>
      <c r="I135" s="8" t="s">
        <v>49</v>
      </c>
    </row>
    <row r="136" spans="1:11" x14ac:dyDescent="0.1">
      <c r="A136" s="13">
        <v>46191</v>
      </c>
      <c r="B136" s="14">
        <v>3939</v>
      </c>
      <c r="C136" s="8" t="s">
        <v>64</v>
      </c>
      <c r="D136" s="7" t="s">
        <v>10</v>
      </c>
      <c r="E136" s="9">
        <v>1</v>
      </c>
      <c r="F136" s="9">
        <v>280</v>
      </c>
      <c r="G136" s="9">
        <v>0</v>
      </c>
      <c r="H136" s="9">
        <f t="shared" ref="H136" si="79">+(F136+G136)*E136</f>
        <v>280</v>
      </c>
      <c r="I136" s="8" t="s">
        <v>49</v>
      </c>
    </row>
    <row r="137" spans="1:11" x14ac:dyDescent="0.1">
      <c r="A137" s="13">
        <v>46191</v>
      </c>
      <c r="B137" s="14">
        <v>3947</v>
      </c>
      <c r="C137" s="8" t="s">
        <v>33</v>
      </c>
      <c r="D137" s="7" t="s">
        <v>10</v>
      </c>
      <c r="E137" s="9">
        <v>1</v>
      </c>
      <c r="F137" s="9">
        <v>280</v>
      </c>
      <c r="G137" s="9">
        <v>0</v>
      </c>
      <c r="H137" s="9">
        <f t="shared" ref="H137:H140" si="80">+(F137+G137)*E137</f>
        <v>280</v>
      </c>
      <c r="I137" s="8" t="s">
        <v>49</v>
      </c>
    </row>
    <row r="138" spans="1:11" x14ac:dyDescent="0.1">
      <c r="A138" s="13">
        <v>46192</v>
      </c>
      <c r="B138" s="14">
        <v>3956</v>
      </c>
      <c r="C138" s="8" t="s">
        <v>33</v>
      </c>
      <c r="D138" s="7" t="s">
        <v>10</v>
      </c>
      <c r="E138" s="9">
        <v>1</v>
      </c>
      <c r="F138" s="9">
        <v>280</v>
      </c>
      <c r="G138" s="9">
        <v>0</v>
      </c>
      <c r="H138" s="9">
        <f t="shared" ref="H138" si="81">+(F138+G138)*E138</f>
        <v>280</v>
      </c>
      <c r="I138" s="8" t="s">
        <v>49</v>
      </c>
    </row>
    <row r="139" spans="1:11" x14ac:dyDescent="0.1">
      <c r="A139" s="13">
        <v>46192</v>
      </c>
      <c r="B139" s="14">
        <v>3957</v>
      </c>
      <c r="C139" s="8" t="s">
        <v>58</v>
      </c>
      <c r="D139" s="7" t="s">
        <v>10</v>
      </c>
      <c r="E139" s="9">
        <v>1</v>
      </c>
      <c r="F139" s="9">
        <v>280</v>
      </c>
      <c r="G139" s="9">
        <v>0</v>
      </c>
      <c r="H139" s="9">
        <f t="shared" ref="H139" si="82">+(F139+G139)*E139</f>
        <v>280</v>
      </c>
      <c r="I139" s="8" t="s">
        <v>49</v>
      </c>
    </row>
    <row r="140" spans="1:11" x14ac:dyDescent="0.1">
      <c r="A140" s="13">
        <v>46192</v>
      </c>
      <c r="B140" s="14">
        <v>3953</v>
      </c>
      <c r="C140" s="8" t="s">
        <v>65</v>
      </c>
      <c r="D140" s="7" t="s">
        <v>10</v>
      </c>
      <c r="E140" s="9">
        <v>1</v>
      </c>
      <c r="F140" s="9">
        <v>280</v>
      </c>
      <c r="G140" s="9">
        <v>0</v>
      </c>
      <c r="H140" s="9">
        <f t="shared" si="80"/>
        <v>280</v>
      </c>
      <c r="I140" s="8" t="s">
        <v>49</v>
      </c>
    </row>
    <row r="141" spans="1:11" x14ac:dyDescent="0.1">
      <c r="A141" s="13">
        <v>46192</v>
      </c>
      <c r="B141" s="14">
        <v>3949</v>
      </c>
      <c r="C141" s="8" t="s">
        <v>72</v>
      </c>
      <c r="D141" s="7" t="s">
        <v>10</v>
      </c>
      <c r="E141" s="9">
        <v>1</v>
      </c>
      <c r="F141" s="9">
        <v>280</v>
      </c>
      <c r="G141" s="9">
        <v>0</v>
      </c>
      <c r="H141" s="9">
        <f t="shared" ref="H141" si="83">+(F141+G141)*E141</f>
        <v>280</v>
      </c>
      <c r="I141" s="8" t="s">
        <v>49</v>
      </c>
    </row>
    <row r="142" spans="1:11" x14ac:dyDescent="0.1">
      <c r="A142" s="13">
        <v>46192</v>
      </c>
      <c r="B142" s="14">
        <v>3926</v>
      </c>
      <c r="C142" s="8" t="s">
        <v>61</v>
      </c>
      <c r="D142" s="7" t="s">
        <v>10</v>
      </c>
      <c r="E142" s="9">
        <v>1</v>
      </c>
      <c r="F142" s="9">
        <v>280</v>
      </c>
      <c r="G142" s="9">
        <v>0</v>
      </c>
      <c r="H142" s="9">
        <f t="shared" ref="H142" si="84">+(F142+G142)*E142</f>
        <v>280</v>
      </c>
      <c r="I142" s="8" t="s">
        <v>49</v>
      </c>
    </row>
    <row r="143" spans="1:11" x14ac:dyDescent="0.1">
      <c r="A143" s="13">
        <v>46192</v>
      </c>
      <c r="B143" s="14">
        <v>3940</v>
      </c>
      <c r="C143" s="8" t="s">
        <v>64</v>
      </c>
      <c r="D143" s="7" t="s">
        <v>10</v>
      </c>
      <c r="E143" s="9">
        <v>1</v>
      </c>
      <c r="F143" s="9">
        <v>280</v>
      </c>
      <c r="G143" s="9">
        <v>0</v>
      </c>
      <c r="H143" s="9">
        <f t="shared" ref="H143:H144" si="85">+(F143+G143)*E143</f>
        <v>280</v>
      </c>
      <c r="I143" s="8" t="s">
        <v>49</v>
      </c>
    </row>
    <row r="144" spans="1:11" x14ac:dyDescent="0.1">
      <c r="A144" s="13">
        <v>46193</v>
      </c>
      <c r="B144" s="14">
        <v>35695</v>
      </c>
      <c r="C144" s="8" t="s">
        <v>58</v>
      </c>
      <c r="D144" s="7" t="s">
        <v>34</v>
      </c>
      <c r="E144" s="9">
        <v>14</v>
      </c>
      <c r="F144" s="9">
        <v>0</v>
      </c>
      <c r="G144" s="9">
        <v>14.5</v>
      </c>
      <c r="H144" s="9">
        <f t="shared" si="85"/>
        <v>203</v>
      </c>
      <c r="I144" s="8" t="s">
        <v>35</v>
      </c>
      <c r="K144" t="s">
        <v>57</v>
      </c>
    </row>
    <row r="145" spans="1:9" x14ac:dyDescent="0.1">
      <c r="A145" s="13">
        <v>46193</v>
      </c>
      <c r="B145" s="14">
        <v>3958</v>
      </c>
      <c r="C145" s="8" t="s">
        <v>33</v>
      </c>
      <c r="D145" s="7" t="s">
        <v>10</v>
      </c>
      <c r="E145" s="9">
        <v>0.5</v>
      </c>
      <c r="F145" s="9">
        <v>280</v>
      </c>
      <c r="G145" s="9">
        <v>0</v>
      </c>
      <c r="H145" s="9">
        <f t="shared" ref="H145" si="86">+(F145+G145)*E145</f>
        <v>140</v>
      </c>
      <c r="I145" s="8" t="s">
        <v>49</v>
      </c>
    </row>
    <row r="146" spans="1:9" x14ac:dyDescent="0.1">
      <c r="A146" s="13">
        <v>46193</v>
      </c>
      <c r="B146" s="14">
        <v>4405</v>
      </c>
      <c r="C146" s="8" t="s">
        <v>58</v>
      </c>
      <c r="D146" s="7" t="s">
        <v>10</v>
      </c>
      <c r="E146" s="9">
        <v>0.5</v>
      </c>
      <c r="F146" s="9">
        <v>280</v>
      </c>
      <c r="G146" s="9">
        <v>0</v>
      </c>
      <c r="H146" s="9">
        <f t="shared" ref="H146:H147" si="87">+(F146+G146)*E146</f>
        <v>140</v>
      </c>
      <c r="I146" s="8" t="s">
        <v>49</v>
      </c>
    </row>
    <row r="147" spans="1:9" x14ac:dyDescent="0.1">
      <c r="A147" s="13">
        <v>46193</v>
      </c>
      <c r="B147" s="14">
        <v>4370</v>
      </c>
      <c r="C147" s="8" t="s">
        <v>50</v>
      </c>
      <c r="D147" s="7" t="s">
        <v>10</v>
      </c>
      <c r="E147" s="9">
        <v>0.5</v>
      </c>
      <c r="F147" s="9">
        <v>280</v>
      </c>
      <c r="G147" s="9">
        <v>0</v>
      </c>
      <c r="H147" s="9">
        <f t="shared" si="87"/>
        <v>140</v>
      </c>
      <c r="I147" s="8" t="s">
        <v>49</v>
      </c>
    </row>
    <row r="148" spans="1:9" x14ac:dyDescent="0.1">
      <c r="A148" s="13">
        <v>46193</v>
      </c>
      <c r="B148" s="14">
        <v>3927</v>
      </c>
      <c r="C148" s="8" t="s">
        <v>61</v>
      </c>
      <c r="D148" s="7" t="s">
        <v>10</v>
      </c>
      <c r="E148" s="9">
        <v>0.5</v>
      </c>
      <c r="F148" s="9">
        <v>280</v>
      </c>
      <c r="G148" s="9">
        <v>0</v>
      </c>
      <c r="H148" s="9">
        <f t="shared" ref="H148:H149" si="88">+(F148+G148)*E148</f>
        <v>140</v>
      </c>
      <c r="I148" s="8" t="s">
        <v>49</v>
      </c>
    </row>
    <row r="149" spans="1:9" x14ac:dyDescent="0.1">
      <c r="A149" s="13">
        <v>46193</v>
      </c>
      <c r="B149" s="14">
        <v>3491</v>
      </c>
      <c r="C149" s="8" t="s">
        <v>64</v>
      </c>
      <c r="D149" s="7" t="s">
        <v>10</v>
      </c>
      <c r="E149" s="9">
        <v>0.5</v>
      </c>
      <c r="F149" s="9">
        <v>280</v>
      </c>
      <c r="G149" s="9">
        <v>0</v>
      </c>
      <c r="H149" s="9">
        <f t="shared" si="88"/>
        <v>140</v>
      </c>
      <c r="I149" s="8" t="s">
        <v>49</v>
      </c>
    </row>
    <row r="150" spans="1:9" ht="14.25" x14ac:dyDescent="0.15">
      <c r="A150" s="13"/>
      <c r="B150" s="14"/>
      <c r="C150" s="7"/>
      <c r="D150" s="12" t="s">
        <v>7</v>
      </c>
      <c r="E150" s="11"/>
      <c r="F150" s="4"/>
      <c r="G150" s="4"/>
      <c r="H150" s="5">
        <f>SUM(H118:H149)</f>
        <v>8092</v>
      </c>
      <c r="I150" s="6" t="s">
        <v>71</v>
      </c>
    </row>
    <row r="151" spans="1:9" x14ac:dyDescent="0.1">
      <c r="A151" s="13">
        <v>46195</v>
      </c>
      <c r="B151" s="14">
        <v>3959</v>
      </c>
      <c r="C151" s="8" t="s">
        <v>33</v>
      </c>
      <c r="D151" s="7" t="s">
        <v>10</v>
      </c>
      <c r="E151" s="9">
        <v>1</v>
      </c>
      <c r="F151" s="9">
        <v>280</v>
      </c>
      <c r="G151" s="9">
        <v>0</v>
      </c>
      <c r="H151" s="9">
        <f t="shared" ref="H151:H155" si="89">+(F151+G151)*E151</f>
        <v>280</v>
      </c>
      <c r="I151" s="8" t="s">
        <v>49</v>
      </c>
    </row>
    <row r="152" spans="1:9" x14ac:dyDescent="0.1">
      <c r="A152" s="13">
        <v>46195</v>
      </c>
      <c r="B152" s="14">
        <v>3955</v>
      </c>
      <c r="C152" s="8" t="s">
        <v>65</v>
      </c>
      <c r="D152" s="7" t="s">
        <v>10</v>
      </c>
      <c r="E152" s="9">
        <v>1</v>
      </c>
      <c r="F152" s="9">
        <v>280</v>
      </c>
      <c r="G152" s="9">
        <v>0</v>
      </c>
      <c r="H152" s="9">
        <f t="shared" si="89"/>
        <v>280</v>
      </c>
      <c r="I152" s="8" t="s">
        <v>49</v>
      </c>
    </row>
    <row r="153" spans="1:9" x14ac:dyDescent="0.1">
      <c r="A153" s="13">
        <v>46195</v>
      </c>
      <c r="B153" s="14">
        <v>3950</v>
      </c>
      <c r="C153" s="8" t="s">
        <v>72</v>
      </c>
      <c r="D153" s="7" t="s">
        <v>10</v>
      </c>
      <c r="E153" s="9">
        <v>1</v>
      </c>
      <c r="F153" s="9">
        <v>280</v>
      </c>
      <c r="G153" s="9">
        <v>0</v>
      </c>
      <c r="H153" s="9">
        <f t="shared" si="89"/>
        <v>280</v>
      </c>
      <c r="I153" s="8" t="s">
        <v>49</v>
      </c>
    </row>
    <row r="154" spans="1:9" x14ac:dyDescent="0.1">
      <c r="A154" s="13">
        <v>46195</v>
      </c>
      <c r="B154" s="14">
        <v>3928</v>
      </c>
      <c r="C154" s="8" t="s">
        <v>61</v>
      </c>
      <c r="D154" s="7" t="s">
        <v>10</v>
      </c>
      <c r="E154" s="9">
        <v>1</v>
      </c>
      <c r="F154" s="9">
        <v>280</v>
      </c>
      <c r="G154" s="9">
        <v>0</v>
      </c>
      <c r="H154" s="9">
        <f t="shared" si="89"/>
        <v>280</v>
      </c>
      <c r="I154" s="8" t="s">
        <v>49</v>
      </c>
    </row>
    <row r="155" spans="1:9" x14ac:dyDescent="0.1">
      <c r="A155" s="13">
        <v>46195</v>
      </c>
      <c r="B155" s="14">
        <v>3942</v>
      </c>
      <c r="C155" s="8" t="s">
        <v>64</v>
      </c>
      <c r="D155" s="7" t="s">
        <v>10</v>
      </c>
      <c r="E155" s="9">
        <v>1</v>
      </c>
      <c r="F155" s="9">
        <v>280</v>
      </c>
      <c r="G155" s="9">
        <v>0</v>
      </c>
      <c r="H155" s="9">
        <f t="shared" si="89"/>
        <v>280</v>
      </c>
      <c r="I155" s="8" t="s">
        <v>49</v>
      </c>
    </row>
    <row r="156" spans="1:9" x14ac:dyDescent="0.1">
      <c r="A156" s="13">
        <v>46196</v>
      </c>
      <c r="B156" s="14">
        <v>3973</v>
      </c>
      <c r="C156" s="8" t="s">
        <v>33</v>
      </c>
      <c r="D156" s="7" t="s">
        <v>10</v>
      </c>
      <c r="E156" s="9">
        <v>1</v>
      </c>
      <c r="F156" s="9">
        <v>280</v>
      </c>
      <c r="G156" s="9">
        <v>0</v>
      </c>
      <c r="H156" s="9">
        <f t="shared" ref="H156:H157" si="90">+(F156+G156)*E156</f>
        <v>280</v>
      </c>
      <c r="I156" s="8" t="s">
        <v>49</v>
      </c>
    </row>
    <row r="157" spans="1:9" x14ac:dyDescent="0.1">
      <c r="A157" s="13">
        <v>46196</v>
      </c>
      <c r="B157" s="14">
        <v>3743</v>
      </c>
      <c r="C157" s="8" t="s">
        <v>48</v>
      </c>
      <c r="D157" s="7" t="s">
        <v>10</v>
      </c>
      <c r="E157" s="9">
        <v>1</v>
      </c>
      <c r="F157" s="9">
        <v>280</v>
      </c>
      <c r="G157" s="9">
        <v>0</v>
      </c>
      <c r="H157" s="9">
        <f t="shared" si="90"/>
        <v>280</v>
      </c>
      <c r="I157" s="8" t="s">
        <v>49</v>
      </c>
    </row>
    <row r="158" spans="1:9" x14ac:dyDescent="0.1">
      <c r="A158" s="13">
        <v>46196</v>
      </c>
      <c r="B158" s="14">
        <v>3943</v>
      </c>
      <c r="C158" s="8" t="s">
        <v>64</v>
      </c>
      <c r="D158" s="7" t="s">
        <v>10</v>
      </c>
      <c r="E158" s="9">
        <v>1</v>
      </c>
      <c r="F158" s="9">
        <v>280</v>
      </c>
      <c r="G158" s="9">
        <v>0</v>
      </c>
      <c r="H158" s="9">
        <f t="shared" ref="H158:H160" si="91">+(F158+G158)*E158</f>
        <v>280</v>
      </c>
      <c r="I158" s="8" t="s">
        <v>49</v>
      </c>
    </row>
    <row r="159" spans="1:9" x14ac:dyDescent="0.1">
      <c r="A159" s="13">
        <v>46196</v>
      </c>
      <c r="B159" s="14">
        <v>3929</v>
      </c>
      <c r="C159" s="8" t="s">
        <v>61</v>
      </c>
      <c r="D159" s="7" t="s">
        <v>10</v>
      </c>
      <c r="E159" s="9">
        <v>1</v>
      </c>
      <c r="F159" s="9">
        <v>280</v>
      </c>
      <c r="G159" s="9">
        <v>0</v>
      </c>
      <c r="H159" s="9">
        <f t="shared" si="91"/>
        <v>280</v>
      </c>
      <c r="I159" s="8" t="s">
        <v>49</v>
      </c>
    </row>
    <row r="160" spans="1:9" x14ac:dyDescent="0.1">
      <c r="A160" s="13">
        <v>46196</v>
      </c>
      <c r="B160" s="14">
        <v>3960</v>
      </c>
      <c r="C160" s="8" t="s">
        <v>65</v>
      </c>
      <c r="D160" s="7" t="s">
        <v>10</v>
      </c>
      <c r="E160" s="9">
        <v>1</v>
      </c>
      <c r="F160" s="9">
        <v>280</v>
      </c>
      <c r="G160" s="9">
        <v>0</v>
      </c>
      <c r="H160" s="9">
        <f t="shared" si="91"/>
        <v>280</v>
      </c>
      <c r="I160" s="8" t="s">
        <v>49</v>
      </c>
    </row>
    <row r="161" spans="1:9" x14ac:dyDescent="0.1">
      <c r="A161" s="13">
        <v>46196</v>
      </c>
      <c r="B161" s="14">
        <v>3952</v>
      </c>
      <c r="C161" s="8" t="s">
        <v>72</v>
      </c>
      <c r="D161" s="7" t="s">
        <v>10</v>
      </c>
      <c r="E161" s="9">
        <v>1</v>
      </c>
      <c r="F161" s="9">
        <v>280</v>
      </c>
      <c r="G161" s="9">
        <v>0</v>
      </c>
      <c r="H161" s="9">
        <f t="shared" ref="H161" si="92">+(F161+G161)*E161</f>
        <v>280</v>
      </c>
      <c r="I161" s="8" t="s">
        <v>49</v>
      </c>
    </row>
    <row r="162" spans="1:9" x14ac:dyDescent="0.1">
      <c r="A162" s="13">
        <v>46197</v>
      </c>
      <c r="B162" s="14">
        <v>3974</v>
      </c>
      <c r="C162" s="8" t="s">
        <v>33</v>
      </c>
      <c r="D162" s="7" t="s">
        <v>10</v>
      </c>
      <c r="E162" s="9">
        <v>1</v>
      </c>
      <c r="F162" s="9">
        <v>280</v>
      </c>
      <c r="G162" s="9">
        <v>0</v>
      </c>
      <c r="H162" s="9">
        <f t="shared" ref="H162" si="93">+(F162+G162)*E162</f>
        <v>280</v>
      </c>
      <c r="I162" s="8" t="s">
        <v>49</v>
      </c>
    </row>
    <row r="163" spans="1:9" x14ac:dyDescent="0.1">
      <c r="A163" s="13">
        <v>46197</v>
      </c>
      <c r="B163" s="14">
        <v>3961</v>
      </c>
      <c r="C163" s="8" t="s">
        <v>65</v>
      </c>
      <c r="D163" s="7" t="s">
        <v>10</v>
      </c>
      <c r="E163" s="9">
        <v>1</v>
      </c>
      <c r="F163" s="9">
        <v>280</v>
      </c>
      <c r="G163" s="9">
        <v>0</v>
      </c>
      <c r="H163" s="9">
        <f t="shared" ref="H163" si="94">+(F163+G163)*E163</f>
        <v>280</v>
      </c>
      <c r="I163" s="8" t="s">
        <v>49</v>
      </c>
    </row>
    <row r="164" spans="1:9" x14ac:dyDescent="0.1">
      <c r="A164" s="13">
        <v>46197</v>
      </c>
      <c r="B164" s="14">
        <v>3966</v>
      </c>
      <c r="C164" s="8" t="s">
        <v>61</v>
      </c>
      <c r="D164" s="7" t="s">
        <v>10</v>
      </c>
      <c r="E164" s="9">
        <v>1</v>
      </c>
      <c r="F164" s="9">
        <v>280</v>
      </c>
      <c r="G164" s="9">
        <v>0</v>
      </c>
      <c r="H164" s="9">
        <f t="shared" ref="H164:H167" si="95">+(F164+G164)*E164</f>
        <v>280</v>
      </c>
      <c r="I164" s="8" t="s">
        <v>49</v>
      </c>
    </row>
    <row r="165" spans="1:9" x14ac:dyDescent="0.1">
      <c r="A165" s="13">
        <v>46197</v>
      </c>
      <c r="B165" s="14">
        <v>3963</v>
      </c>
      <c r="C165" s="8" t="s">
        <v>64</v>
      </c>
      <c r="D165" s="7" t="s">
        <v>10</v>
      </c>
      <c r="E165" s="9">
        <v>1</v>
      </c>
      <c r="F165" s="9">
        <v>280</v>
      </c>
      <c r="G165" s="9">
        <v>0</v>
      </c>
      <c r="H165" s="9">
        <f t="shared" si="95"/>
        <v>280</v>
      </c>
      <c r="I165" s="8" t="s">
        <v>49</v>
      </c>
    </row>
    <row r="166" spans="1:9" x14ac:dyDescent="0.1">
      <c r="A166" s="13">
        <v>46197</v>
      </c>
      <c r="B166" s="14">
        <v>3951</v>
      </c>
      <c r="C166" s="8" t="s">
        <v>72</v>
      </c>
      <c r="D166" s="7" t="s">
        <v>10</v>
      </c>
      <c r="E166" s="9">
        <v>1</v>
      </c>
      <c r="F166" s="9">
        <v>280</v>
      </c>
      <c r="G166" s="9">
        <v>0</v>
      </c>
      <c r="H166" s="9">
        <f t="shared" si="95"/>
        <v>280</v>
      </c>
      <c r="I166" s="8" t="s">
        <v>49</v>
      </c>
    </row>
    <row r="167" spans="1:9" x14ac:dyDescent="0.1">
      <c r="A167" s="13">
        <v>46198</v>
      </c>
      <c r="B167" s="14">
        <v>35696</v>
      </c>
      <c r="C167" s="8" t="s">
        <v>77</v>
      </c>
      <c r="D167" s="7" t="s">
        <v>34</v>
      </c>
      <c r="E167" s="9">
        <v>14</v>
      </c>
      <c r="F167" s="9">
        <v>0</v>
      </c>
      <c r="G167" s="9">
        <v>14.5</v>
      </c>
      <c r="H167" s="9">
        <f t="shared" si="95"/>
        <v>203</v>
      </c>
      <c r="I167" s="8" t="s">
        <v>35</v>
      </c>
    </row>
    <row r="168" spans="1:9" x14ac:dyDescent="0.1">
      <c r="A168" s="13">
        <v>46198</v>
      </c>
      <c r="B168" s="14">
        <v>3975</v>
      </c>
      <c r="C168" s="8" t="s">
        <v>33</v>
      </c>
      <c r="D168" s="7" t="s">
        <v>10</v>
      </c>
      <c r="E168" s="9">
        <v>1</v>
      </c>
      <c r="F168" s="9">
        <v>280</v>
      </c>
      <c r="G168" s="9">
        <v>0</v>
      </c>
      <c r="H168" s="9">
        <f t="shared" ref="H168:H182" si="96">+(F168+G168)*E168</f>
        <v>280</v>
      </c>
      <c r="I168" s="8" t="s">
        <v>49</v>
      </c>
    </row>
    <row r="169" spans="1:9" x14ac:dyDescent="0.1">
      <c r="A169" s="13">
        <v>46198</v>
      </c>
      <c r="B169" s="14">
        <v>4456</v>
      </c>
      <c r="C169" s="8" t="s">
        <v>48</v>
      </c>
      <c r="D169" s="7" t="s">
        <v>10</v>
      </c>
      <c r="E169" s="9">
        <v>1</v>
      </c>
      <c r="F169" s="9">
        <v>280</v>
      </c>
      <c r="G169" s="9">
        <v>0</v>
      </c>
      <c r="H169" s="9">
        <f t="shared" si="96"/>
        <v>280</v>
      </c>
      <c r="I169" s="8" t="s">
        <v>49</v>
      </c>
    </row>
    <row r="170" spans="1:9" x14ac:dyDescent="0.1">
      <c r="A170" s="13">
        <v>46198</v>
      </c>
      <c r="B170" s="14">
        <v>3962</v>
      </c>
      <c r="C170" s="8" t="s">
        <v>65</v>
      </c>
      <c r="D170" s="7" t="s">
        <v>10</v>
      </c>
      <c r="E170" s="9">
        <v>1</v>
      </c>
      <c r="F170" s="9">
        <v>280</v>
      </c>
      <c r="G170" s="9">
        <v>0</v>
      </c>
      <c r="H170" s="9">
        <f t="shared" si="96"/>
        <v>280</v>
      </c>
      <c r="I170" s="8" t="s">
        <v>49</v>
      </c>
    </row>
    <row r="171" spans="1:9" x14ac:dyDescent="0.1">
      <c r="A171" s="13">
        <v>46198</v>
      </c>
      <c r="B171" s="14">
        <v>3967</v>
      </c>
      <c r="C171" s="8" t="s">
        <v>61</v>
      </c>
      <c r="D171" s="7" t="s">
        <v>10</v>
      </c>
      <c r="E171" s="9">
        <v>1</v>
      </c>
      <c r="F171" s="9">
        <v>280</v>
      </c>
      <c r="G171" s="9">
        <v>0</v>
      </c>
      <c r="H171" s="9">
        <f t="shared" si="96"/>
        <v>280</v>
      </c>
      <c r="I171" s="8" t="s">
        <v>49</v>
      </c>
    </row>
    <row r="172" spans="1:9" x14ac:dyDescent="0.1">
      <c r="A172" s="13">
        <v>46198</v>
      </c>
      <c r="B172" s="14">
        <v>3964</v>
      </c>
      <c r="C172" s="8" t="s">
        <v>64</v>
      </c>
      <c r="D172" s="7" t="s">
        <v>10</v>
      </c>
      <c r="E172" s="9">
        <v>1</v>
      </c>
      <c r="F172" s="9">
        <v>280</v>
      </c>
      <c r="G172" s="9">
        <v>0</v>
      </c>
      <c r="H172" s="9">
        <f t="shared" si="96"/>
        <v>280</v>
      </c>
      <c r="I172" s="8" t="s">
        <v>49</v>
      </c>
    </row>
    <row r="173" spans="1:9" x14ac:dyDescent="0.1">
      <c r="A173" s="13">
        <v>46198</v>
      </c>
      <c r="B173" s="14">
        <v>3969</v>
      </c>
      <c r="C173" s="8" t="s">
        <v>72</v>
      </c>
      <c r="D173" s="7" t="s">
        <v>10</v>
      </c>
      <c r="E173" s="9">
        <v>1</v>
      </c>
      <c r="F173" s="9">
        <v>280</v>
      </c>
      <c r="G173" s="9">
        <v>0</v>
      </c>
      <c r="H173" s="9">
        <f t="shared" si="96"/>
        <v>280</v>
      </c>
      <c r="I173" s="8" t="s">
        <v>49</v>
      </c>
    </row>
    <row r="174" spans="1:9" x14ac:dyDescent="0.1">
      <c r="A174" s="13">
        <v>46199</v>
      </c>
      <c r="B174" s="14">
        <v>35697</v>
      </c>
      <c r="C174" s="8" t="s">
        <v>33</v>
      </c>
      <c r="D174" s="7" t="s">
        <v>34</v>
      </c>
      <c r="E174" s="9">
        <v>14</v>
      </c>
      <c r="F174" s="9">
        <v>0</v>
      </c>
      <c r="G174" s="9">
        <v>13.5</v>
      </c>
      <c r="H174" s="9">
        <f t="shared" si="96"/>
        <v>189</v>
      </c>
      <c r="I174" s="8" t="s">
        <v>75</v>
      </c>
    </row>
    <row r="175" spans="1:9" x14ac:dyDescent="0.1">
      <c r="A175" s="13">
        <v>46199</v>
      </c>
      <c r="B175" s="14">
        <v>38575</v>
      </c>
      <c r="C175" s="8" t="s">
        <v>77</v>
      </c>
      <c r="D175" s="7" t="s">
        <v>34</v>
      </c>
      <c r="E175" s="9">
        <v>13.5</v>
      </c>
      <c r="F175" s="9">
        <v>0</v>
      </c>
      <c r="G175" s="9">
        <v>13.5</v>
      </c>
      <c r="H175" s="9">
        <f t="shared" si="96"/>
        <v>182.25</v>
      </c>
      <c r="I175" s="8" t="s">
        <v>75</v>
      </c>
    </row>
    <row r="176" spans="1:9" x14ac:dyDescent="0.1">
      <c r="A176" s="13">
        <v>46199</v>
      </c>
      <c r="B176" s="14">
        <v>35160</v>
      </c>
      <c r="C176" s="8" t="s">
        <v>77</v>
      </c>
      <c r="D176" s="7" t="s">
        <v>34</v>
      </c>
      <c r="E176" s="9">
        <v>13.5</v>
      </c>
      <c r="F176" s="9">
        <v>0</v>
      </c>
      <c r="G176" s="9">
        <v>14.5</v>
      </c>
      <c r="H176" s="9">
        <f t="shared" ref="H176" si="97">+(F176+G176)*E176</f>
        <v>195.75</v>
      </c>
      <c r="I176" s="8" t="s">
        <v>35</v>
      </c>
    </row>
    <row r="177" spans="1:9" x14ac:dyDescent="0.1">
      <c r="A177" s="13">
        <v>46199</v>
      </c>
      <c r="B177" s="14">
        <v>35156</v>
      </c>
      <c r="C177" s="8" t="s">
        <v>74</v>
      </c>
      <c r="D177" s="7" t="s">
        <v>34</v>
      </c>
      <c r="E177" s="9">
        <v>13</v>
      </c>
      <c r="F177" s="9">
        <v>0</v>
      </c>
      <c r="G177" s="9">
        <v>13.5</v>
      </c>
      <c r="H177" s="9">
        <f t="shared" si="96"/>
        <v>175.5</v>
      </c>
      <c r="I177" s="8" t="s">
        <v>75</v>
      </c>
    </row>
    <row r="178" spans="1:9" x14ac:dyDescent="0.1">
      <c r="A178" s="13">
        <v>46199</v>
      </c>
      <c r="B178" s="14">
        <v>38474</v>
      </c>
      <c r="C178" s="8" t="s">
        <v>54</v>
      </c>
      <c r="D178" s="7" t="s">
        <v>34</v>
      </c>
      <c r="E178" s="9">
        <v>13</v>
      </c>
      <c r="F178" s="9">
        <v>0</v>
      </c>
      <c r="G178" s="9">
        <v>13.5</v>
      </c>
      <c r="H178" s="9">
        <f t="shared" si="96"/>
        <v>175.5</v>
      </c>
      <c r="I178" s="8" t="s">
        <v>75</v>
      </c>
    </row>
    <row r="179" spans="1:9" x14ac:dyDescent="0.1">
      <c r="A179" s="13">
        <v>46199</v>
      </c>
      <c r="B179" s="14">
        <v>38744</v>
      </c>
      <c r="C179" s="8" t="s">
        <v>48</v>
      </c>
      <c r="D179" s="7" t="s">
        <v>34</v>
      </c>
      <c r="E179" s="9">
        <v>13</v>
      </c>
      <c r="F179" s="9">
        <v>0</v>
      </c>
      <c r="G179" s="9">
        <v>13.5</v>
      </c>
      <c r="H179" s="9">
        <f t="shared" si="96"/>
        <v>175.5</v>
      </c>
      <c r="I179" s="8" t="s">
        <v>75</v>
      </c>
    </row>
    <row r="180" spans="1:9" x14ac:dyDescent="0.1">
      <c r="A180" s="13">
        <v>46199</v>
      </c>
      <c r="B180" s="14">
        <v>35155</v>
      </c>
      <c r="C180" s="8" t="s">
        <v>50</v>
      </c>
      <c r="D180" s="7" t="s">
        <v>34</v>
      </c>
      <c r="E180" s="9">
        <v>13</v>
      </c>
      <c r="F180" s="9">
        <v>0</v>
      </c>
      <c r="G180" s="9">
        <v>13.5</v>
      </c>
      <c r="H180" s="9">
        <f t="shared" si="96"/>
        <v>175.5</v>
      </c>
      <c r="I180" s="8" t="s">
        <v>75</v>
      </c>
    </row>
    <row r="181" spans="1:9" x14ac:dyDescent="0.1">
      <c r="A181" s="13">
        <v>46199</v>
      </c>
      <c r="B181" s="14">
        <v>35159</v>
      </c>
      <c r="C181" s="8" t="s">
        <v>50</v>
      </c>
      <c r="D181" s="7" t="s">
        <v>34</v>
      </c>
      <c r="E181" s="9">
        <v>13</v>
      </c>
      <c r="F181" s="9">
        <v>0</v>
      </c>
      <c r="G181" s="9">
        <v>13.5</v>
      </c>
      <c r="H181" s="9">
        <f t="shared" ref="H181" si="98">+(F181+G181)*E181</f>
        <v>175.5</v>
      </c>
      <c r="I181" s="8" t="s">
        <v>75</v>
      </c>
    </row>
    <row r="182" spans="1:9" x14ac:dyDescent="0.1">
      <c r="A182" s="13">
        <v>46199</v>
      </c>
      <c r="B182" s="14">
        <v>38525</v>
      </c>
      <c r="C182" s="8" t="s">
        <v>58</v>
      </c>
      <c r="D182" s="7" t="s">
        <v>34</v>
      </c>
      <c r="E182" s="9">
        <v>13</v>
      </c>
      <c r="F182" s="9">
        <v>0</v>
      </c>
      <c r="G182" s="9">
        <v>13.5</v>
      </c>
      <c r="H182" s="9">
        <f t="shared" si="96"/>
        <v>175.5</v>
      </c>
      <c r="I182" s="8" t="s">
        <v>75</v>
      </c>
    </row>
    <row r="183" spans="1:9" x14ac:dyDescent="0.1">
      <c r="A183" s="13">
        <v>46199</v>
      </c>
      <c r="B183" s="14">
        <v>3991</v>
      </c>
      <c r="C183" s="8" t="s">
        <v>33</v>
      </c>
      <c r="D183" s="7" t="s">
        <v>10</v>
      </c>
      <c r="E183" s="9">
        <v>1</v>
      </c>
      <c r="F183" s="9">
        <v>280</v>
      </c>
      <c r="G183" s="9">
        <v>0</v>
      </c>
      <c r="H183" s="9">
        <f t="shared" ref="H183:H184" si="99">+(F183+G183)*E183</f>
        <v>280</v>
      </c>
      <c r="I183" s="8" t="s">
        <v>49</v>
      </c>
    </row>
    <row r="184" spans="1:9" x14ac:dyDescent="0.1">
      <c r="A184" s="13">
        <v>46199</v>
      </c>
      <c r="B184" s="14">
        <v>4457</v>
      </c>
      <c r="C184" s="8" t="s">
        <v>48</v>
      </c>
      <c r="D184" s="7" t="s">
        <v>10</v>
      </c>
      <c r="E184" s="9">
        <v>1</v>
      </c>
      <c r="F184" s="9">
        <v>280</v>
      </c>
      <c r="G184" s="9">
        <v>0</v>
      </c>
      <c r="H184" s="9">
        <f t="shared" si="99"/>
        <v>280</v>
      </c>
      <c r="I184" s="8" t="s">
        <v>49</v>
      </c>
    </row>
    <row r="185" spans="1:9" x14ac:dyDescent="0.1">
      <c r="A185" s="13">
        <v>46199</v>
      </c>
      <c r="B185" s="14">
        <v>3965</v>
      </c>
      <c r="C185" s="8" t="s">
        <v>64</v>
      </c>
      <c r="D185" s="7" t="s">
        <v>10</v>
      </c>
      <c r="E185" s="9">
        <v>1</v>
      </c>
      <c r="F185" s="9">
        <v>280</v>
      </c>
      <c r="G185" s="9">
        <v>0</v>
      </c>
      <c r="H185" s="9">
        <f t="shared" ref="H185:H189" si="100">+(F185+G185)*E185</f>
        <v>280</v>
      </c>
      <c r="I185" s="8" t="s">
        <v>49</v>
      </c>
    </row>
    <row r="186" spans="1:9" x14ac:dyDescent="0.1">
      <c r="A186" s="13">
        <v>46199</v>
      </c>
      <c r="B186" s="14">
        <v>3968</v>
      </c>
      <c r="C186" s="8" t="s">
        <v>61</v>
      </c>
      <c r="D186" s="7" t="s">
        <v>10</v>
      </c>
      <c r="E186" s="9">
        <v>1</v>
      </c>
      <c r="F186" s="9">
        <v>280</v>
      </c>
      <c r="G186" s="9">
        <v>0</v>
      </c>
      <c r="H186" s="9">
        <f t="shared" si="100"/>
        <v>280</v>
      </c>
      <c r="I186" s="8" t="s">
        <v>49</v>
      </c>
    </row>
    <row r="187" spans="1:9" x14ac:dyDescent="0.1">
      <c r="A187" s="13">
        <v>46199</v>
      </c>
      <c r="B187" s="14">
        <v>3983</v>
      </c>
      <c r="C187" s="8" t="s">
        <v>72</v>
      </c>
      <c r="D187" s="7" t="s">
        <v>10</v>
      </c>
      <c r="E187" s="9">
        <v>1</v>
      </c>
      <c r="F187" s="9">
        <v>280</v>
      </c>
      <c r="G187" s="9">
        <v>0</v>
      </c>
      <c r="H187" s="9">
        <f t="shared" si="100"/>
        <v>280</v>
      </c>
      <c r="I187" s="8" t="s">
        <v>49</v>
      </c>
    </row>
    <row r="188" spans="1:9" x14ac:dyDescent="0.1">
      <c r="A188" s="13">
        <v>46199</v>
      </c>
      <c r="B188" s="14">
        <v>3976</v>
      </c>
      <c r="C188" s="8" t="s">
        <v>65</v>
      </c>
      <c r="D188" s="7" t="s">
        <v>10</v>
      </c>
      <c r="E188" s="9">
        <v>1</v>
      </c>
      <c r="F188" s="9">
        <v>280</v>
      </c>
      <c r="G188" s="9">
        <v>0</v>
      </c>
      <c r="H188" s="9">
        <f t="shared" si="100"/>
        <v>280</v>
      </c>
      <c r="I188" s="8" t="s">
        <v>49</v>
      </c>
    </row>
    <row r="189" spans="1:9" x14ac:dyDescent="0.1">
      <c r="A189" s="13">
        <v>46200</v>
      </c>
      <c r="B189" s="14">
        <v>4807</v>
      </c>
      <c r="C189" s="8" t="s">
        <v>54</v>
      </c>
      <c r="D189" s="7" t="s">
        <v>10</v>
      </c>
      <c r="E189" s="9">
        <v>1</v>
      </c>
      <c r="F189" s="9">
        <v>280</v>
      </c>
      <c r="G189" s="9">
        <v>0</v>
      </c>
      <c r="H189" s="9">
        <f t="shared" si="100"/>
        <v>280</v>
      </c>
      <c r="I189" s="8" t="s">
        <v>49</v>
      </c>
    </row>
    <row r="190" spans="1:9" x14ac:dyDescent="0.1">
      <c r="A190" s="13">
        <v>46200</v>
      </c>
      <c r="B190" s="14">
        <v>4459</v>
      </c>
      <c r="C190" s="8" t="s">
        <v>48</v>
      </c>
      <c r="D190" s="7" t="s">
        <v>10</v>
      </c>
      <c r="E190" s="9">
        <v>1</v>
      </c>
      <c r="F190" s="9">
        <v>280</v>
      </c>
      <c r="G190" s="9">
        <v>0</v>
      </c>
      <c r="H190" s="9">
        <f t="shared" ref="H190" si="101">+(F190+G190)*E190</f>
        <v>280</v>
      </c>
      <c r="I190" s="8" t="s">
        <v>49</v>
      </c>
    </row>
    <row r="191" spans="1:9" x14ac:dyDescent="0.1">
      <c r="A191" s="13">
        <v>46200</v>
      </c>
      <c r="B191" s="14">
        <v>4373</v>
      </c>
      <c r="C191" s="8" t="s">
        <v>50</v>
      </c>
      <c r="D191" s="7" t="s">
        <v>10</v>
      </c>
      <c r="E191" s="9">
        <v>1</v>
      </c>
      <c r="F191" s="9">
        <v>280</v>
      </c>
      <c r="G191" s="9">
        <v>0</v>
      </c>
      <c r="H191" s="9">
        <f t="shared" ref="H191:H195" si="102">+(F191+G191)*E191</f>
        <v>280</v>
      </c>
      <c r="I191" s="8" t="s">
        <v>49</v>
      </c>
    </row>
    <row r="192" spans="1:9" x14ac:dyDescent="0.1">
      <c r="A192" s="13">
        <v>46200</v>
      </c>
      <c r="B192" s="14">
        <v>4598</v>
      </c>
      <c r="C192" s="8" t="s">
        <v>61</v>
      </c>
      <c r="D192" s="7" t="s">
        <v>10</v>
      </c>
      <c r="E192" s="9">
        <v>1</v>
      </c>
      <c r="F192" s="9">
        <v>280</v>
      </c>
      <c r="G192" s="9">
        <v>0</v>
      </c>
      <c r="H192" s="9">
        <f t="shared" si="102"/>
        <v>280</v>
      </c>
      <c r="I192" s="8" t="s">
        <v>49</v>
      </c>
    </row>
    <row r="193" spans="1:14" x14ac:dyDescent="0.1">
      <c r="A193" s="13">
        <v>46200</v>
      </c>
      <c r="B193" s="14">
        <v>4599</v>
      </c>
      <c r="C193" s="8" t="s">
        <v>64</v>
      </c>
      <c r="D193" s="7" t="s">
        <v>10</v>
      </c>
      <c r="E193" s="9">
        <v>1</v>
      </c>
      <c r="F193" s="9">
        <v>280</v>
      </c>
      <c r="G193" s="9">
        <v>0</v>
      </c>
      <c r="H193" s="9">
        <f t="shared" si="102"/>
        <v>280</v>
      </c>
      <c r="I193" s="8" t="s">
        <v>49</v>
      </c>
    </row>
    <row r="194" spans="1:14" x14ac:dyDescent="0.1">
      <c r="A194" s="13">
        <v>46202</v>
      </c>
      <c r="B194" s="14">
        <v>4460</v>
      </c>
      <c r="C194" s="8" t="s">
        <v>48</v>
      </c>
      <c r="D194" s="7" t="s">
        <v>10</v>
      </c>
      <c r="E194" s="9">
        <v>1</v>
      </c>
      <c r="F194" s="9">
        <v>280</v>
      </c>
      <c r="G194" s="9">
        <v>0</v>
      </c>
      <c r="H194" s="9">
        <f t="shared" si="102"/>
        <v>280</v>
      </c>
      <c r="I194" s="8" t="s">
        <v>49</v>
      </c>
    </row>
    <row r="195" spans="1:14" x14ac:dyDescent="0.1">
      <c r="A195" s="13">
        <v>46202</v>
      </c>
      <c r="B195" s="14">
        <v>3992</v>
      </c>
      <c r="C195" s="8" t="s">
        <v>33</v>
      </c>
      <c r="D195" s="7" t="s">
        <v>10</v>
      </c>
      <c r="E195" s="9">
        <v>1</v>
      </c>
      <c r="F195" s="9">
        <v>280</v>
      </c>
      <c r="G195" s="9">
        <v>0</v>
      </c>
      <c r="H195" s="9">
        <f t="shared" si="102"/>
        <v>280</v>
      </c>
      <c r="I195" s="8" t="s">
        <v>49</v>
      </c>
    </row>
    <row r="196" spans="1:14" x14ac:dyDescent="0.1">
      <c r="A196" s="13">
        <v>46202</v>
      </c>
      <c r="B196" s="14">
        <v>3977</v>
      </c>
      <c r="C196" s="8" t="s">
        <v>65</v>
      </c>
      <c r="D196" s="7" t="s">
        <v>10</v>
      </c>
      <c r="E196" s="9">
        <v>1</v>
      </c>
      <c r="F196" s="9">
        <v>280</v>
      </c>
      <c r="G196" s="9">
        <v>0</v>
      </c>
      <c r="H196" s="9">
        <f t="shared" ref="H196:H199" si="103">+(F196+G196)*E196</f>
        <v>280</v>
      </c>
      <c r="I196" s="8" t="s">
        <v>49</v>
      </c>
    </row>
    <row r="197" spans="1:14" x14ac:dyDescent="0.1">
      <c r="A197" s="13">
        <v>46202</v>
      </c>
      <c r="B197" s="14">
        <v>4600</v>
      </c>
      <c r="C197" s="8" t="s">
        <v>64</v>
      </c>
      <c r="D197" s="7" t="s">
        <v>10</v>
      </c>
      <c r="E197" s="9">
        <v>1</v>
      </c>
      <c r="F197" s="9">
        <v>280</v>
      </c>
      <c r="G197" s="9">
        <v>0</v>
      </c>
      <c r="H197" s="9">
        <f t="shared" si="103"/>
        <v>280</v>
      </c>
      <c r="I197" s="8" t="s">
        <v>49</v>
      </c>
    </row>
    <row r="198" spans="1:14" x14ac:dyDescent="0.1">
      <c r="A198" s="13">
        <v>46202</v>
      </c>
      <c r="B198" s="14">
        <v>4901</v>
      </c>
      <c r="C198" s="8" t="s">
        <v>61</v>
      </c>
      <c r="D198" s="7" t="s">
        <v>10</v>
      </c>
      <c r="E198" s="9">
        <v>1</v>
      </c>
      <c r="F198" s="9">
        <v>280</v>
      </c>
      <c r="G198" s="9">
        <v>0</v>
      </c>
      <c r="H198" s="9">
        <f t="shared" si="103"/>
        <v>280</v>
      </c>
      <c r="I198" s="8" t="s">
        <v>49</v>
      </c>
    </row>
    <row r="199" spans="1:14" x14ac:dyDescent="0.1">
      <c r="A199" s="13">
        <v>46202</v>
      </c>
      <c r="B199" s="14"/>
      <c r="C199" s="8"/>
      <c r="D199" s="7" t="s">
        <v>10</v>
      </c>
      <c r="E199" s="9">
        <v>1</v>
      </c>
      <c r="F199" s="9">
        <v>280</v>
      </c>
      <c r="G199" s="9">
        <v>0</v>
      </c>
      <c r="H199" s="9">
        <f t="shared" si="103"/>
        <v>280</v>
      </c>
      <c r="I199" s="8" t="s">
        <v>49</v>
      </c>
    </row>
    <row r="200" spans="1:14" ht="14.25" x14ac:dyDescent="0.15">
      <c r="A200" s="13"/>
      <c r="B200" s="14"/>
      <c r="C200" s="7"/>
      <c r="D200" s="12" t="s">
        <v>7</v>
      </c>
      <c r="E200" s="11"/>
      <c r="F200" s="4"/>
      <c r="G200" s="4"/>
      <c r="H200" s="5">
        <f>SUM(H151:H199)</f>
        <v>12743</v>
      </c>
      <c r="I200" s="6" t="s">
        <v>80</v>
      </c>
    </row>
    <row r="201" spans="1:14" ht="14.25" x14ac:dyDescent="0.15">
      <c r="A201" s="42"/>
      <c r="B201" s="43"/>
      <c r="C201" s="44"/>
      <c r="D201" s="45"/>
      <c r="E201" s="46"/>
      <c r="F201" s="47"/>
      <c r="G201" s="47"/>
      <c r="H201" s="48"/>
      <c r="I201" s="49"/>
    </row>
    <row r="202" spans="1:14" ht="14.25" x14ac:dyDescent="0.15">
      <c r="A202" s="42"/>
      <c r="B202" s="43"/>
      <c r="C202" s="44"/>
      <c r="D202" s="45"/>
      <c r="E202" s="46"/>
      <c r="F202" s="47"/>
      <c r="G202" s="47"/>
      <c r="H202" s="48"/>
      <c r="I202" s="49"/>
    </row>
    <row r="203" spans="1:14" s="31" customFormat="1" ht="21" x14ac:dyDescent="0.3">
      <c r="A203" s="54" t="s">
        <v>38</v>
      </c>
      <c r="B203" s="54"/>
      <c r="C203" s="54"/>
      <c r="D203" s="54"/>
      <c r="E203" s="54"/>
      <c r="F203" s="54"/>
      <c r="G203" s="54"/>
      <c r="N203" s="32"/>
    </row>
    <row r="204" spans="1:14" s="31" customFormat="1" ht="21" x14ac:dyDescent="0.3">
      <c r="A204" s="54" t="s">
        <v>39</v>
      </c>
      <c r="B204" s="54"/>
      <c r="C204" s="54"/>
      <c r="D204" s="54"/>
      <c r="E204" s="54"/>
      <c r="F204" s="54"/>
      <c r="G204" s="54"/>
      <c r="N204" s="32"/>
    </row>
    <row r="205" spans="1:14" s="31" customFormat="1" ht="21" x14ac:dyDescent="0.3">
      <c r="A205" s="55"/>
      <c r="B205" s="56"/>
      <c r="C205" s="56"/>
      <c r="D205" s="56"/>
      <c r="E205" s="56"/>
      <c r="F205" s="56"/>
      <c r="G205" s="57"/>
      <c r="N205" s="32"/>
    </row>
    <row r="206" spans="1:14" ht="15" x14ac:dyDescent="0.2">
      <c r="A206" s="16" t="s">
        <v>15</v>
      </c>
      <c r="B206" s="17" t="s">
        <v>16</v>
      </c>
      <c r="C206" s="18"/>
      <c r="D206" s="18"/>
      <c r="E206" s="18"/>
      <c r="F206" s="18"/>
      <c r="G206" s="18"/>
    </row>
    <row r="207" spans="1:14" ht="15" x14ac:dyDescent="0.2">
      <c r="A207" s="16" t="s">
        <v>17</v>
      </c>
      <c r="B207" s="17" t="s">
        <v>18</v>
      </c>
      <c r="C207" s="18"/>
      <c r="D207" s="18"/>
      <c r="E207" s="18"/>
      <c r="F207" s="18"/>
      <c r="G207" s="18"/>
    </row>
    <row r="208" spans="1:14" ht="15" x14ac:dyDescent="0.2">
      <c r="A208" s="16" t="s">
        <v>19</v>
      </c>
      <c r="B208" s="19" t="s">
        <v>20</v>
      </c>
      <c r="C208" s="18"/>
      <c r="D208" s="18"/>
      <c r="E208" s="20" t="s">
        <v>21</v>
      </c>
      <c r="F208" s="21">
        <v>53</v>
      </c>
      <c r="G208" s="18" t="s">
        <v>22</v>
      </c>
    </row>
    <row r="209" spans="1:14" x14ac:dyDescent="0.15">
      <c r="A209" s="18"/>
      <c r="B209" s="18"/>
      <c r="C209" s="18"/>
      <c r="D209" s="18"/>
      <c r="E209" s="22"/>
      <c r="F209" s="22"/>
      <c r="G209" s="18"/>
    </row>
    <row r="210" spans="1:14" x14ac:dyDescent="0.15">
      <c r="A210" s="23" t="s">
        <v>23</v>
      </c>
      <c r="B210" s="23" t="s">
        <v>10</v>
      </c>
      <c r="C210" s="23" t="s">
        <v>24</v>
      </c>
      <c r="D210" s="23" t="s">
        <v>25</v>
      </c>
      <c r="E210" s="23" t="s">
        <v>26</v>
      </c>
      <c r="F210" s="23" t="s">
        <v>12</v>
      </c>
      <c r="G210" s="23" t="s">
        <v>27</v>
      </c>
    </row>
    <row r="211" spans="1:14" x14ac:dyDescent="0.1">
      <c r="A211" s="24">
        <v>46118</v>
      </c>
      <c r="B211" s="25" t="s">
        <v>28</v>
      </c>
      <c r="C211" s="25">
        <v>1681</v>
      </c>
      <c r="D211" s="25" t="s">
        <v>29</v>
      </c>
      <c r="E211" s="26" t="s">
        <v>22</v>
      </c>
      <c r="F211" s="27">
        <v>6</v>
      </c>
      <c r="G211" s="27">
        <f>+F208*F211</f>
        <v>318</v>
      </c>
    </row>
    <row r="212" spans="1:14" ht="14.25" x14ac:dyDescent="0.15">
      <c r="A212" s="24"/>
      <c r="B212" s="28"/>
      <c r="C212" s="25"/>
      <c r="D212" s="25"/>
      <c r="E212" s="29"/>
      <c r="F212" s="30">
        <f>SUM(F211:F211)</f>
        <v>6</v>
      </c>
      <c r="G212" s="30">
        <f>SUM(G211:G211)</f>
        <v>318</v>
      </c>
    </row>
    <row r="213" spans="1:14" ht="14.25" x14ac:dyDescent="0.15">
      <c r="F213" s="30" t="s">
        <v>30</v>
      </c>
      <c r="G213" s="30">
        <v>500</v>
      </c>
    </row>
    <row r="214" spans="1:14" ht="14.25" x14ac:dyDescent="0.15">
      <c r="F214" s="30" t="s">
        <v>7</v>
      </c>
      <c r="G214" s="30">
        <f>+G212+G213</f>
        <v>818</v>
      </c>
    </row>
    <row r="217" spans="1:14" ht="14.25" x14ac:dyDescent="0.15">
      <c r="F217" s="30" t="s">
        <v>31</v>
      </c>
      <c r="G217" s="30">
        <f>+G214+H4</f>
        <v>1098</v>
      </c>
    </row>
    <row r="219" spans="1:14" s="31" customFormat="1" ht="15" x14ac:dyDescent="0.2">
      <c r="A219" s="16" t="s">
        <v>15</v>
      </c>
      <c r="B219" s="17" t="s">
        <v>16</v>
      </c>
      <c r="C219" s="18"/>
      <c r="D219" s="18"/>
      <c r="E219" s="18"/>
      <c r="F219" s="18"/>
      <c r="G219" s="18"/>
      <c r="N219" s="32"/>
    </row>
    <row r="220" spans="1:14" s="31" customFormat="1" ht="15" x14ac:dyDescent="0.2">
      <c r="A220" s="16" t="s">
        <v>17</v>
      </c>
      <c r="B220" s="17" t="s">
        <v>78</v>
      </c>
      <c r="C220" s="18"/>
      <c r="D220" s="18"/>
      <c r="E220" s="18"/>
      <c r="F220" s="18"/>
      <c r="G220" s="18"/>
      <c r="N220" s="32"/>
    </row>
    <row r="221" spans="1:14" s="31" customFormat="1" ht="15" x14ac:dyDescent="0.2">
      <c r="A221" s="16" t="s">
        <v>19</v>
      </c>
      <c r="B221" s="19" t="s">
        <v>40</v>
      </c>
      <c r="C221" s="18"/>
      <c r="D221" s="18"/>
      <c r="E221" s="20" t="s">
        <v>21</v>
      </c>
      <c r="F221" s="21">
        <v>26</v>
      </c>
      <c r="G221" s="18" t="s">
        <v>22</v>
      </c>
      <c r="N221" s="32"/>
    </row>
    <row r="222" spans="1:14" s="31" customFormat="1" x14ac:dyDescent="0.15">
      <c r="A222" s="18"/>
      <c r="B222" s="18"/>
      <c r="C222" s="18"/>
      <c r="D222" s="18"/>
      <c r="E222" s="22"/>
      <c r="F222" s="22"/>
      <c r="G222" s="18"/>
      <c r="N222" s="32"/>
    </row>
    <row r="223" spans="1:14" s="31" customFormat="1" x14ac:dyDescent="0.15">
      <c r="A223" s="23" t="s">
        <v>23</v>
      </c>
      <c r="B223" s="23" t="s">
        <v>10</v>
      </c>
      <c r="C223" s="23" t="s">
        <v>24</v>
      </c>
      <c r="D223" s="23" t="s">
        <v>25</v>
      </c>
      <c r="E223" s="23" t="s">
        <v>26</v>
      </c>
      <c r="F223" s="23" t="s">
        <v>12</v>
      </c>
      <c r="G223" s="23" t="s">
        <v>27</v>
      </c>
      <c r="N223" s="32"/>
    </row>
    <row r="224" spans="1:14" s="31" customFormat="1" hidden="1" x14ac:dyDescent="0.1">
      <c r="A224" s="24">
        <v>46141</v>
      </c>
      <c r="B224" s="25" t="s">
        <v>41</v>
      </c>
      <c r="C224" s="37">
        <v>2490</v>
      </c>
      <c r="D224" s="25" t="s">
        <v>42</v>
      </c>
      <c r="E224" s="26" t="s">
        <v>22</v>
      </c>
      <c r="F224" s="27">
        <v>8.5</v>
      </c>
      <c r="G224" s="27">
        <f>+F224*$F$221</f>
        <v>221</v>
      </c>
      <c r="H224" s="31" t="s">
        <v>57</v>
      </c>
      <c r="N224" s="32"/>
    </row>
    <row r="225" spans="1:14" s="31" customFormat="1" hidden="1" x14ac:dyDescent="0.1">
      <c r="A225" s="24">
        <v>46146</v>
      </c>
      <c r="B225" s="25" t="s">
        <v>28</v>
      </c>
      <c r="C225" s="37">
        <v>2491</v>
      </c>
      <c r="D225" s="25" t="s">
        <v>43</v>
      </c>
      <c r="E225" s="26" t="s">
        <v>22</v>
      </c>
      <c r="F225" s="27">
        <v>6.5</v>
      </c>
      <c r="G225" s="27">
        <f>+F225*$F$221</f>
        <v>169</v>
      </c>
      <c r="H225" s="31" t="s">
        <v>57</v>
      </c>
      <c r="N225" s="32"/>
    </row>
    <row r="226" spans="1:14" s="31" customFormat="1" ht="14.25" hidden="1" x14ac:dyDescent="0.15">
      <c r="A226" s="24"/>
      <c r="B226" s="28"/>
      <c r="C226" s="25"/>
      <c r="D226" s="25"/>
      <c r="E226" s="29"/>
      <c r="F226" s="30">
        <f>SUM(F224:F225)</f>
        <v>15</v>
      </c>
      <c r="G226" s="30">
        <f>SUM(G224:G225)</f>
        <v>390</v>
      </c>
      <c r="N226" s="32"/>
    </row>
    <row r="227" spans="1:14" s="31" customFormat="1" hidden="1" x14ac:dyDescent="0.1">
      <c r="A227" s="24">
        <v>46153</v>
      </c>
      <c r="B227" s="25" t="s">
        <v>28</v>
      </c>
      <c r="C227" s="37">
        <v>2492</v>
      </c>
      <c r="D227" s="25" t="s">
        <v>44</v>
      </c>
      <c r="E227" s="26" t="s">
        <v>22</v>
      </c>
      <c r="F227" s="27">
        <v>9</v>
      </c>
      <c r="G227" s="27">
        <f>+F227*$F$221</f>
        <v>234</v>
      </c>
      <c r="H227" s="31" t="s">
        <v>57</v>
      </c>
      <c r="N227" s="32"/>
    </row>
    <row r="228" spans="1:14" s="31" customFormat="1" hidden="1" x14ac:dyDescent="0.1">
      <c r="A228" s="24">
        <v>46154</v>
      </c>
      <c r="B228" s="25" t="s">
        <v>45</v>
      </c>
      <c r="C228" s="37">
        <v>1816</v>
      </c>
      <c r="D228" s="25" t="s">
        <v>44</v>
      </c>
      <c r="E228" s="26" t="s">
        <v>22</v>
      </c>
      <c r="F228" s="27">
        <v>8</v>
      </c>
      <c r="G228" s="27">
        <f>+F228*$F$221</f>
        <v>208</v>
      </c>
      <c r="H228" s="31" t="s">
        <v>57</v>
      </c>
      <c r="N228" s="32"/>
    </row>
    <row r="229" spans="1:14" s="31" customFormat="1" hidden="1" x14ac:dyDescent="0.1">
      <c r="A229" s="24">
        <v>46155</v>
      </c>
      <c r="B229" s="25" t="s">
        <v>46</v>
      </c>
      <c r="C229" s="37">
        <v>2101</v>
      </c>
      <c r="D229" s="25" t="s">
        <v>47</v>
      </c>
      <c r="E229" s="26" t="s">
        <v>22</v>
      </c>
      <c r="F229" s="27">
        <v>8.5</v>
      </c>
      <c r="G229" s="27">
        <f>+F229*$F$221</f>
        <v>221</v>
      </c>
      <c r="H229" s="31" t="s">
        <v>57</v>
      </c>
      <c r="N229" s="32"/>
    </row>
    <row r="230" spans="1:14" s="31" customFormat="1" hidden="1" x14ac:dyDescent="0.1">
      <c r="A230" s="24">
        <v>46156</v>
      </c>
      <c r="B230" s="25" t="s">
        <v>51</v>
      </c>
      <c r="C230" s="37">
        <v>2102</v>
      </c>
      <c r="D230" s="25" t="s">
        <v>47</v>
      </c>
      <c r="E230" s="26" t="s">
        <v>22</v>
      </c>
      <c r="F230" s="27">
        <v>9.5</v>
      </c>
      <c r="G230" s="27">
        <f>+F230*$F$221</f>
        <v>247</v>
      </c>
      <c r="H230" s="31" t="s">
        <v>57</v>
      </c>
      <c r="N230" s="32"/>
    </row>
    <row r="231" spans="1:14" s="31" customFormat="1" hidden="1" x14ac:dyDescent="0.1">
      <c r="A231" s="24">
        <v>46157</v>
      </c>
      <c r="B231" s="25" t="s">
        <v>52</v>
      </c>
      <c r="C231" s="37">
        <v>2103</v>
      </c>
      <c r="D231" s="25" t="s">
        <v>47</v>
      </c>
      <c r="E231" s="26" t="s">
        <v>22</v>
      </c>
      <c r="F231" s="27">
        <v>9.5</v>
      </c>
      <c r="G231" s="27">
        <f t="shared" ref="G231:G232" si="104">+F231*$F$221</f>
        <v>247</v>
      </c>
      <c r="H231" s="31" t="s">
        <v>57</v>
      </c>
      <c r="N231" s="32"/>
    </row>
    <row r="232" spans="1:14" s="31" customFormat="1" hidden="1" x14ac:dyDescent="0.1">
      <c r="A232" s="24">
        <v>46158</v>
      </c>
      <c r="B232" s="25" t="s">
        <v>53</v>
      </c>
      <c r="C232" s="37">
        <v>2106</v>
      </c>
      <c r="D232" s="25" t="s">
        <v>47</v>
      </c>
      <c r="E232" s="26" t="s">
        <v>22</v>
      </c>
      <c r="F232" s="27">
        <v>2</v>
      </c>
      <c r="G232" s="27">
        <f t="shared" si="104"/>
        <v>52</v>
      </c>
      <c r="H232" s="31" t="s">
        <v>57</v>
      </c>
      <c r="N232" s="32"/>
    </row>
    <row r="233" spans="1:14" s="31" customFormat="1" ht="14.25" hidden="1" x14ac:dyDescent="0.15">
      <c r="A233" s="24"/>
      <c r="B233" s="28"/>
      <c r="C233" s="25"/>
      <c r="D233" s="25"/>
      <c r="E233" s="29"/>
      <c r="F233" s="30">
        <f>SUM(F227:F232)</f>
        <v>46.5</v>
      </c>
      <c r="G233" s="30">
        <f>SUM(G227:G232)</f>
        <v>1209</v>
      </c>
      <c r="H233" s="39">
        <f>+G226+G233</f>
        <v>1599</v>
      </c>
      <c r="N233" s="32"/>
    </row>
    <row r="234" spans="1:14" s="31" customFormat="1" hidden="1" x14ac:dyDescent="0.1">
      <c r="A234" s="24">
        <v>46160</v>
      </c>
      <c r="B234" s="25" t="s">
        <v>28</v>
      </c>
      <c r="C234" s="37">
        <v>2107</v>
      </c>
      <c r="D234" s="25" t="s">
        <v>47</v>
      </c>
      <c r="E234" s="26" t="s">
        <v>22</v>
      </c>
      <c r="F234" s="27">
        <v>9.5</v>
      </c>
      <c r="G234" s="27">
        <f>+F234*$F$221</f>
        <v>247</v>
      </c>
      <c r="H234" s="31" t="s">
        <v>57</v>
      </c>
      <c r="N234" s="32"/>
    </row>
    <row r="235" spans="1:14" s="31" customFormat="1" hidden="1" x14ac:dyDescent="0.1">
      <c r="A235" s="24">
        <v>46162</v>
      </c>
      <c r="B235" s="25" t="s">
        <v>46</v>
      </c>
      <c r="C235" s="37">
        <v>2110</v>
      </c>
      <c r="D235" s="25" t="s">
        <v>47</v>
      </c>
      <c r="E235" s="26" t="s">
        <v>22</v>
      </c>
      <c r="F235" s="27">
        <v>9.5</v>
      </c>
      <c r="G235" s="27">
        <f t="shared" ref="G235:G236" si="105">+F235*$F$221</f>
        <v>247</v>
      </c>
      <c r="H235" s="31" t="s">
        <v>57</v>
      </c>
      <c r="N235" s="32"/>
    </row>
    <row r="236" spans="1:14" s="31" customFormat="1" hidden="1" x14ac:dyDescent="0.1">
      <c r="A236" s="24">
        <v>46162</v>
      </c>
      <c r="B236" s="25" t="s">
        <v>46</v>
      </c>
      <c r="C236" s="37">
        <v>2111</v>
      </c>
      <c r="D236" s="25" t="s">
        <v>47</v>
      </c>
      <c r="E236" s="26" t="s">
        <v>22</v>
      </c>
      <c r="F236" s="27">
        <v>9.5</v>
      </c>
      <c r="G236" s="27">
        <f t="shared" si="105"/>
        <v>247</v>
      </c>
      <c r="H236" s="31" t="s">
        <v>57</v>
      </c>
      <c r="N236" s="32"/>
    </row>
    <row r="237" spans="1:14" s="31" customFormat="1" hidden="1" x14ac:dyDescent="0.1">
      <c r="A237" s="24">
        <v>46163</v>
      </c>
      <c r="B237" s="25" t="s">
        <v>51</v>
      </c>
      <c r="C237" s="37">
        <v>2112</v>
      </c>
      <c r="D237" s="25" t="s">
        <v>47</v>
      </c>
      <c r="E237" s="26" t="s">
        <v>22</v>
      </c>
      <c r="F237" s="27">
        <v>9.5</v>
      </c>
      <c r="G237" s="27">
        <f t="shared" ref="G237" si="106">+F237*$F$221</f>
        <v>247</v>
      </c>
      <c r="H237" s="31" t="s">
        <v>57</v>
      </c>
      <c r="N237" s="32"/>
    </row>
    <row r="238" spans="1:14" s="31" customFormat="1" hidden="1" x14ac:dyDescent="0.1">
      <c r="A238" s="24">
        <v>46164</v>
      </c>
      <c r="B238" s="25" t="s">
        <v>52</v>
      </c>
      <c r="C238" s="37">
        <v>2113</v>
      </c>
      <c r="D238" s="25" t="s">
        <v>47</v>
      </c>
      <c r="E238" s="26" t="s">
        <v>22</v>
      </c>
      <c r="F238" s="27">
        <v>9.5</v>
      </c>
      <c r="G238" s="27">
        <f t="shared" ref="G238" si="107">+F238*$F$221</f>
        <v>247</v>
      </c>
      <c r="H238" s="31" t="s">
        <v>57</v>
      </c>
      <c r="N238" s="32"/>
    </row>
    <row r="239" spans="1:14" s="31" customFormat="1" hidden="1" x14ac:dyDescent="0.1">
      <c r="A239" s="24">
        <v>46165</v>
      </c>
      <c r="B239" s="25" t="s">
        <v>53</v>
      </c>
      <c r="C239" s="37">
        <v>2114</v>
      </c>
      <c r="D239" s="25" t="s">
        <v>47</v>
      </c>
      <c r="E239" s="26" t="s">
        <v>22</v>
      </c>
      <c r="F239" s="27">
        <v>4.5</v>
      </c>
      <c r="G239" s="27">
        <f t="shared" ref="G239" si="108">+F239*$F$221</f>
        <v>117</v>
      </c>
      <c r="H239" s="31" t="s">
        <v>57</v>
      </c>
      <c r="N239" s="32"/>
    </row>
    <row r="240" spans="1:14" s="31" customFormat="1" ht="14.25" hidden="1" x14ac:dyDescent="0.15">
      <c r="A240" s="24"/>
      <c r="B240" s="28"/>
      <c r="C240" s="25"/>
      <c r="D240" s="25"/>
      <c r="E240" s="29"/>
      <c r="F240" s="30">
        <f>SUM(F234:F239)</f>
        <v>52</v>
      </c>
      <c r="G240" s="30">
        <f>SUM(G234:G239)</f>
        <v>1352</v>
      </c>
      <c r="H240" s="39">
        <f>+G240</f>
        <v>1352</v>
      </c>
      <c r="K240" s="39"/>
      <c r="N240" s="32"/>
    </row>
    <row r="241" spans="1:14" s="31" customFormat="1" hidden="1" x14ac:dyDescent="0.1">
      <c r="A241" s="24">
        <v>46167</v>
      </c>
      <c r="B241" s="25" t="s">
        <v>28</v>
      </c>
      <c r="C241" s="37" t="s">
        <v>62</v>
      </c>
      <c r="D241" s="25" t="s">
        <v>47</v>
      </c>
      <c r="E241" s="26" t="s">
        <v>22</v>
      </c>
      <c r="F241" s="27">
        <v>0</v>
      </c>
      <c r="G241" s="27">
        <f t="shared" ref="G241:G246" si="109">+F241*$F$221</f>
        <v>0</v>
      </c>
      <c r="H241" s="31" t="s">
        <v>57</v>
      </c>
      <c r="N241" s="32"/>
    </row>
    <row r="242" spans="1:14" s="31" customFormat="1" hidden="1" x14ac:dyDescent="0.1">
      <c r="A242" s="24">
        <v>46168</v>
      </c>
      <c r="B242" s="25" t="s">
        <v>45</v>
      </c>
      <c r="C242" s="37">
        <v>2115</v>
      </c>
      <c r="D242" s="25" t="s">
        <v>47</v>
      </c>
      <c r="E242" s="26" t="s">
        <v>22</v>
      </c>
      <c r="F242" s="27">
        <v>9.5</v>
      </c>
      <c r="G242" s="27">
        <f t="shared" si="109"/>
        <v>247</v>
      </c>
      <c r="H242" s="31" t="s">
        <v>57</v>
      </c>
      <c r="N242" s="32"/>
    </row>
    <row r="243" spans="1:14" s="31" customFormat="1" hidden="1" x14ac:dyDescent="0.1">
      <c r="A243" s="24">
        <v>46169</v>
      </c>
      <c r="B243" s="25" t="s">
        <v>46</v>
      </c>
      <c r="C243" s="37">
        <v>2116</v>
      </c>
      <c r="D243" s="25" t="s">
        <v>47</v>
      </c>
      <c r="E243" s="26" t="s">
        <v>22</v>
      </c>
      <c r="F243" s="27">
        <v>9.5</v>
      </c>
      <c r="G243" s="27">
        <f t="shared" si="109"/>
        <v>247</v>
      </c>
      <c r="H243" s="31" t="s">
        <v>57</v>
      </c>
      <c r="N243" s="32"/>
    </row>
    <row r="244" spans="1:14" s="31" customFormat="1" hidden="1" x14ac:dyDescent="0.1">
      <c r="A244" s="24">
        <v>46170</v>
      </c>
      <c r="B244" s="25" t="s">
        <v>51</v>
      </c>
      <c r="C244" s="37">
        <v>2118</v>
      </c>
      <c r="D244" s="25" t="s">
        <v>47</v>
      </c>
      <c r="E244" s="26" t="s">
        <v>22</v>
      </c>
      <c r="F244" s="27">
        <v>9</v>
      </c>
      <c r="G244" s="27">
        <f t="shared" si="109"/>
        <v>234</v>
      </c>
      <c r="H244" s="31" t="s">
        <v>57</v>
      </c>
      <c r="N244" s="32"/>
    </row>
    <row r="245" spans="1:14" s="31" customFormat="1" hidden="1" x14ac:dyDescent="0.1">
      <c r="A245" s="24">
        <v>46171</v>
      </c>
      <c r="B245" s="25" t="s">
        <v>52</v>
      </c>
      <c r="C245" s="37">
        <v>2119</v>
      </c>
      <c r="D245" s="25" t="s">
        <v>47</v>
      </c>
      <c r="E245" s="26" t="s">
        <v>22</v>
      </c>
      <c r="F245" s="27">
        <v>9</v>
      </c>
      <c r="G245" s="27">
        <f t="shared" si="109"/>
        <v>234</v>
      </c>
      <c r="H245" s="31" t="s">
        <v>57</v>
      </c>
      <c r="N245" s="32"/>
    </row>
    <row r="246" spans="1:14" s="31" customFormat="1" hidden="1" x14ac:dyDescent="0.1">
      <c r="A246" s="24">
        <v>46172</v>
      </c>
      <c r="B246" s="25" t="s">
        <v>53</v>
      </c>
      <c r="C246" s="37">
        <v>2120</v>
      </c>
      <c r="D246" s="25" t="s">
        <v>47</v>
      </c>
      <c r="E246" s="26" t="s">
        <v>22</v>
      </c>
      <c r="F246" s="27">
        <v>5.5</v>
      </c>
      <c r="G246" s="27">
        <f t="shared" si="109"/>
        <v>143</v>
      </c>
      <c r="H246" s="31" t="s">
        <v>57</v>
      </c>
      <c r="N246" s="32"/>
    </row>
    <row r="247" spans="1:14" s="31" customFormat="1" ht="14.25" hidden="1" x14ac:dyDescent="0.15">
      <c r="A247" s="24"/>
      <c r="B247" s="28"/>
      <c r="C247" s="25"/>
      <c r="D247" s="25"/>
      <c r="E247" s="29"/>
      <c r="F247" s="30">
        <f>SUM(F241:F246)</f>
        <v>42.5</v>
      </c>
      <c r="G247" s="30">
        <f>SUM(G241:G246)</f>
        <v>1105</v>
      </c>
      <c r="N247" s="32"/>
    </row>
    <row r="248" spans="1:14" s="31" customFormat="1" hidden="1" x14ac:dyDescent="0.1">
      <c r="A248" s="24">
        <v>46174</v>
      </c>
      <c r="B248" s="25" t="s">
        <v>28</v>
      </c>
      <c r="C248" s="37">
        <v>2121</v>
      </c>
      <c r="D248" s="25" t="s">
        <v>47</v>
      </c>
      <c r="E248" s="26" t="s">
        <v>22</v>
      </c>
      <c r="F248" s="27">
        <v>9</v>
      </c>
      <c r="G248" s="27">
        <f t="shared" ref="G248" si="110">+F248*$F$221</f>
        <v>234</v>
      </c>
      <c r="H248" s="31" t="s">
        <v>57</v>
      </c>
      <c r="L248" s="31">
        <v>16.8</v>
      </c>
      <c r="M248" s="31">
        <f>+L248+0.7</f>
        <v>17.5</v>
      </c>
      <c r="N248" s="32"/>
    </row>
    <row r="249" spans="1:14" s="31" customFormat="1" hidden="1" x14ac:dyDescent="0.1">
      <c r="A249" s="24">
        <v>46175</v>
      </c>
      <c r="B249" s="25" t="s">
        <v>45</v>
      </c>
      <c r="C249" s="37">
        <v>2124</v>
      </c>
      <c r="D249" s="25" t="s">
        <v>47</v>
      </c>
      <c r="E249" s="26" t="s">
        <v>22</v>
      </c>
      <c r="F249" s="27">
        <v>10</v>
      </c>
      <c r="G249" s="27">
        <f t="shared" ref="G249" si="111">+F249*$F$221</f>
        <v>260</v>
      </c>
      <c r="H249" s="31" t="s">
        <v>57</v>
      </c>
      <c r="N249" s="32"/>
    </row>
    <row r="250" spans="1:14" s="31" customFormat="1" hidden="1" x14ac:dyDescent="0.1">
      <c r="A250" s="24">
        <v>46176</v>
      </c>
      <c r="B250" s="25" t="s">
        <v>46</v>
      </c>
      <c r="C250" s="37">
        <v>2425</v>
      </c>
      <c r="D250" s="25" t="s">
        <v>47</v>
      </c>
      <c r="E250" s="26" t="s">
        <v>22</v>
      </c>
      <c r="F250" s="27">
        <v>9.75</v>
      </c>
      <c r="G250" s="27">
        <f t="shared" ref="G250" si="112">+F250*$F$221</f>
        <v>253.5</v>
      </c>
      <c r="H250" s="31" t="s">
        <v>57</v>
      </c>
      <c r="N250" s="32"/>
    </row>
    <row r="251" spans="1:14" s="31" customFormat="1" hidden="1" x14ac:dyDescent="0.1">
      <c r="A251" s="24">
        <v>46177</v>
      </c>
      <c r="B251" s="25" t="s">
        <v>51</v>
      </c>
      <c r="C251" s="37">
        <v>2127</v>
      </c>
      <c r="D251" s="25" t="s">
        <v>47</v>
      </c>
      <c r="E251" s="26" t="s">
        <v>22</v>
      </c>
      <c r="F251" s="27">
        <v>9</v>
      </c>
      <c r="G251" s="27">
        <f t="shared" ref="G251" si="113">+F251*$F$221</f>
        <v>234</v>
      </c>
      <c r="H251" s="31" t="s">
        <v>57</v>
      </c>
      <c r="N251" s="32"/>
    </row>
    <row r="252" spans="1:14" s="31" customFormat="1" hidden="1" x14ac:dyDescent="0.1">
      <c r="A252" s="24">
        <v>46178</v>
      </c>
      <c r="B252" s="25" t="s">
        <v>52</v>
      </c>
      <c r="C252" s="37">
        <v>2128</v>
      </c>
      <c r="D252" s="25" t="s">
        <v>47</v>
      </c>
      <c r="E252" s="26" t="s">
        <v>22</v>
      </c>
      <c r="F252" s="27">
        <v>9.5</v>
      </c>
      <c r="G252" s="27">
        <f t="shared" ref="G252" si="114">+F252*$F$221</f>
        <v>247</v>
      </c>
      <c r="H252" s="31" t="s">
        <v>57</v>
      </c>
      <c r="N252" s="32"/>
    </row>
    <row r="253" spans="1:14" s="31" customFormat="1" hidden="1" x14ac:dyDescent="0.1">
      <c r="A253" s="24">
        <v>46179</v>
      </c>
      <c r="B253" s="25" t="s">
        <v>53</v>
      </c>
      <c r="C253" s="37">
        <v>2130</v>
      </c>
      <c r="D253" s="25" t="s">
        <v>47</v>
      </c>
      <c r="E253" s="26" t="s">
        <v>22</v>
      </c>
      <c r="F253" s="27">
        <v>4.5</v>
      </c>
      <c r="G253" s="27">
        <f t="shared" ref="G253" si="115">+F253*$F$221</f>
        <v>117</v>
      </c>
      <c r="H253" s="31" t="s">
        <v>57</v>
      </c>
      <c r="N253" s="32"/>
    </row>
    <row r="254" spans="1:14" s="31" customFormat="1" ht="14.25" hidden="1" x14ac:dyDescent="0.15">
      <c r="A254" s="24"/>
      <c r="B254" s="28"/>
      <c r="C254" s="25"/>
      <c r="D254" s="25"/>
      <c r="E254" s="29"/>
      <c r="F254" s="30">
        <f>SUM(F248:F253)</f>
        <v>51.75</v>
      </c>
      <c r="G254" s="30">
        <f>SUM(G248:G253)</f>
        <v>1345.5</v>
      </c>
      <c r="N254" s="32"/>
    </row>
    <row r="255" spans="1:14" s="31" customFormat="1" hidden="1" x14ac:dyDescent="0.1">
      <c r="A255" s="24">
        <v>46181</v>
      </c>
      <c r="B255" s="25" t="s">
        <v>28</v>
      </c>
      <c r="C255" s="37">
        <v>2131</v>
      </c>
      <c r="D255" s="25" t="s">
        <v>47</v>
      </c>
      <c r="E255" s="26" t="s">
        <v>22</v>
      </c>
      <c r="F255" s="27">
        <v>9</v>
      </c>
      <c r="G255" s="27">
        <f t="shared" ref="G255" si="116">+F255*$F$221</f>
        <v>234</v>
      </c>
      <c r="H255" s="31" t="s">
        <v>57</v>
      </c>
      <c r="N255" s="32"/>
    </row>
    <row r="256" spans="1:14" s="31" customFormat="1" hidden="1" x14ac:dyDescent="0.1">
      <c r="A256" s="24">
        <v>46182</v>
      </c>
      <c r="B256" s="25" t="s">
        <v>45</v>
      </c>
      <c r="C256" s="37">
        <v>2133</v>
      </c>
      <c r="D256" s="25" t="s">
        <v>47</v>
      </c>
      <c r="E256" s="26" t="s">
        <v>22</v>
      </c>
      <c r="F256" s="27">
        <v>6</v>
      </c>
      <c r="G256" s="27">
        <f t="shared" ref="G256" si="117">+F256*$F$221</f>
        <v>156</v>
      </c>
      <c r="H256" s="31" t="s">
        <v>57</v>
      </c>
      <c r="N256" s="32"/>
    </row>
    <row r="257" spans="1:14" s="31" customFormat="1" hidden="1" x14ac:dyDescent="0.1">
      <c r="A257" s="24">
        <v>46183</v>
      </c>
      <c r="B257" s="25" t="s">
        <v>46</v>
      </c>
      <c r="C257" s="37">
        <v>2134</v>
      </c>
      <c r="D257" s="25" t="s">
        <v>47</v>
      </c>
      <c r="E257" s="26" t="s">
        <v>22</v>
      </c>
      <c r="F257" s="27">
        <v>9</v>
      </c>
      <c r="G257" s="27">
        <f t="shared" ref="G257" si="118">+F257*$F$221</f>
        <v>234</v>
      </c>
      <c r="H257" s="31" t="s">
        <v>57</v>
      </c>
      <c r="N257" s="32"/>
    </row>
    <row r="258" spans="1:14" s="31" customFormat="1" hidden="1" x14ac:dyDescent="0.1">
      <c r="A258" s="24">
        <v>46184</v>
      </c>
      <c r="B258" s="25" t="s">
        <v>51</v>
      </c>
      <c r="C258" s="37">
        <v>2135</v>
      </c>
      <c r="D258" s="25" t="s">
        <v>47</v>
      </c>
      <c r="E258" s="26" t="s">
        <v>22</v>
      </c>
      <c r="F258" s="27">
        <v>9</v>
      </c>
      <c r="G258" s="27">
        <f t="shared" ref="G258" si="119">+F258*$F$221</f>
        <v>234</v>
      </c>
      <c r="H258" s="31" t="s">
        <v>57</v>
      </c>
      <c r="N258" s="32"/>
    </row>
    <row r="259" spans="1:14" s="31" customFormat="1" hidden="1" x14ac:dyDescent="0.1">
      <c r="A259" s="24">
        <v>46185</v>
      </c>
      <c r="B259" s="25" t="s">
        <v>52</v>
      </c>
      <c r="C259" s="37">
        <v>2136</v>
      </c>
      <c r="D259" s="25" t="s">
        <v>47</v>
      </c>
      <c r="E259" s="26" t="s">
        <v>22</v>
      </c>
      <c r="F259" s="27">
        <v>9</v>
      </c>
      <c r="G259" s="27">
        <f t="shared" ref="G259" si="120">+F259*$F$221</f>
        <v>234</v>
      </c>
      <c r="H259" s="31" t="s">
        <v>57</v>
      </c>
      <c r="N259" s="32"/>
    </row>
    <row r="260" spans="1:14" s="31" customFormat="1" hidden="1" x14ac:dyDescent="0.1">
      <c r="A260" s="24">
        <v>46186</v>
      </c>
      <c r="B260" s="25" t="s">
        <v>53</v>
      </c>
      <c r="C260" s="37">
        <v>2137</v>
      </c>
      <c r="D260" s="25" t="s">
        <v>47</v>
      </c>
      <c r="E260" s="26" t="s">
        <v>22</v>
      </c>
      <c r="F260" s="27">
        <v>4.5</v>
      </c>
      <c r="G260" s="27">
        <f t="shared" ref="G260" si="121">+F260*$F$221</f>
        <v>117</v>
      </c>
      <c r="H260" s="31" t="s">
        <v>57</v>
      </c>
      <c r="N260" s="32"/>
    </row>
    <row r="261" spans="1:14" s="31" customFormat="1" ht="14.25" hidden="1" x14ac:dyDescent="0.15">
      <c r="A261" s="24"/>
      <c r="B261" s="28"/>
      <c r="C261" s="25"/>
      <c r="D261" s="25"/>
      <c r="E261" s="29"/>
      <c r="F261" s="30">
        <f>SUM(F255:F260)</f>
        <v>46.5</v>
      </c>
      <c r="G261" s="30">
        <f>SUM(G255:G260)</f>
        <v>1209</v>
      </c>
      <c r="N261" s="32"/>
    </row>
    <row r="262" spans="1:14" s="31" customFormat="1" hidden="1" x14ac:dyDescent="0.1">
      <c r="A262" s="24">
        <v>46188</v>
      </c>
      <c r="B262" s="25" t="s">
        <v>28</v>
      </c>
      <c r="C262" s="37">
        <v>2138</v>
      </c>
      <c r="D262" s="25" t="s">
        <v>47</v>
      </c>
      <c r="E262" s="26" t="s">
        <v>22</v>
      </c>
      <c r="F262" s="27">
        <v>9</v>
      </c>
      <c r="G262" s="27">
        <f t="shared" ref="G262" si="122">+F262*$F$221</f>
        <v>234</v>
      </c>
      <c r="H262" s="31" t="s">
        <v>57</v>
      </c>
      <c r="N262" s="32"/>
    </row>
    <row r="263" spans="1:14" s="31" customFormat="1" hidden="1" x14ac:dyDescent="0.1">
      <c r="A263" s="24">
        <v>46189</v>
      </c>
      <c r="B263" s="25" t="s">
        <v>45</v>
      </c>
      <c r="C263" s="37">
        <v>2139</v>
      </c>
      <c r="D263" s="25" t="s">
        <v>47</v>
      </c>
      <c r="E263" s="26" t="s">
        <v>22</v>
      </c>
      <c r="F263" s="27">
        <v>9</v>
      </c>
      <c r="G263" s="27">
        <f t="shared" ref="G263" si="123">+F263*$F$221</f>
        <v>234</v>
      </c>
      <c r="H263" s="31" t="s">
        <v>57</v>
      </c>
      <c r="N263" s="32"/>
    </row>
    <row r="264" spans="1:14" s="31" customFormat="1" hidden="1" x14ac:dyDescent="0.1">
      <c r="A264" s="24">
        <v>46190</v>
      </c>
      <c r="B264" s="25" t="s">
        <v>46</v>
      </c>
      <c r="C264" s="37">
        <v>2140</v>
      </c>
      <c r="D264" s="25" t="s">
        <v>47</v>
      </c>
      <c r="E264" s="26" t="s">
        <v>22</v>
      </c>
      <c r="F264" s="27">
        <v>9.75</v>
      </c>
      <c r="G264" s="27">
        <f t="shared" ref="G264" si="124">+F264*$F$221</f>
        <v>253.5</v>
      </c>
      <c r="H264" s="31" t="s">
        <v>57</v>
      </c>
      <c r="N264" s="32"/>
    </row>
    <row r="265" spans="1:14" s="31" customFormat="1" hidden="1" x14ac:dyDescent="0.1">
      <c r="A265" s="24">
        <v>46191</v>
      </c>
      <c r="B265" s="25" t="s">
        <v>51</v>
      </c>
      <c r="C265" s="37">
        <v>2142</v>
      </c>
      <c r="D265" s="25" t="s">
        <v>47</v>
      </c>
      <c r="E265" s="26" t="s">
        <v>22</v>
      </c>
      <c r="F265" s="27">
        <v>9.5</v>
      </c>
      <c r="G265" s="27">
        <f t="shared" ref="G265" si="125">+F265*$F$221</f>
        <v>247</v>
      </c>
      <c r="H265" s="31" t="s">
        <v>57</v>
      </c>
      <c r="N265" s="32"/>
    </row>
    <row r="266" spans="1:14" s="31" customFormat="1" hidden="1" x14ac:dyDescent="0.1">
      <c r="A266" s="24">
        <v>46192</v>
      </c>
      <c r="B266" s="25" t="s">
        <v>52</v>
      </c>
      <c r="C266" s="37">
        <v>2143</v>
      </c>
      <c r="D266" s="25" t="s">
        <v>47</v>
      </c>
      <c r="E266" s="26" t="s">
        <v>22</v>
      </c>
      <c r="F266" s="27">
        <v>9.5</v>
      </c>
      <c r="G266" s="27">
        <f t="shared" ref="G266" si="126">+F266*$F$221</f>
        <v>247</v>
      </c>
      <c r="H266" s="31" t="s">
        <v>57</v>
      </c>
      <c r="N266" s="32"/>
    </row>
    <row r="267" spans="1:14" s="31" customFormat="1" hidden="1" x14ac:dyDescent="0.1">
      <c r="A267" s="24">
        <v>46193</v>
      </c>
      <c r="B267" s="25" t="s">
        <v>53</v>
      </c>
      <c r="C267" s="37">
        <v>2144</v>
      </c>
      <c r="D267" s="25" t="s">
        <v>47</v>
      </c>
      <c r="E267" s="26" t="s">
        <v>22</v>
      </c>
      <c r="F267" s="27">
        <v>4.5</v>
      </c>
      <c r="G267" s="27">
        <f t="shared" ref="G267" si="127">+F267*$F$221</f>
        <v>117</v>
      </c>
      <c r="H267" s="31" t="s">
        <v>57</v>
      </c>
      <c r="N267" s="32"/>
    </row>
    <row r="268" spans="1:14" s="31" customFormat="1" ht="14.25" hidden="1" x14ac:dyDescent="0.15">
      <c r="A268" s="24"/>
      <c r="B268" s="28"/>
      <c r="C268" s="25"/>
      <c r="D268" s="25"/>
      <c r="E268" s="29"/>
      <c r="F268" s="30">
        <f>SUM(F262:F267)</f>
        <v>51.25</v>
      </c>
      <c r="G268" s="30">
        <f>SUM(G262:G267)</f>
        <v>1332.5</v>
      </c>
      <c r="H268" s="39">
        <f>+F254+F261+F268</f>
        <v>149.5</v>
      </c>
      <c r="I268" s="31">
        <f>+H268*26</f>
        <v>3887</v>
      </c>
      <c r="N268" s="32"/>
    </row>
    <row r="269" spans="1:14" s="31" customFormat="1" x14ac:dyDescent="0.1">
      <c r="A269" s="24">
        <v>46195</v>
      </c>
      <c r="B269" s="25" t="s">
        <v>28</v>
      </c>
      <c r="C269" s="41">
        <v>2145</v>
      </c>
      <c r="D269" s="25" t="s">
        <v>47</v>
      </c>
      <c r="E269" s="26" t="s">
        <v>22</v>
      </c>
      <c r="F269" s="27">
        <v>9</v>
      </c>
      <c r="G269" s="27">
        <f t="shared" ref="G269" si="128">+F269*$F$221</f>
        <v>234</v>
      </c>
      <c r="N269" s="32"/>
    </row>
    <row r="270" spans="1:14" s="31" customFormat="1" x14ac:dyDescent="0.1">
      <c r="A270" s="24">
        <v>46196</v>
      </c>
      <c r="B270" s="25" t="s">
        <v>45</v>
      </c>
      <c r="C270" s="41">
        <v>2147</v>
      </c>
      <c r="D270" s="25" t="s">
        <v>47</v>
      </c>
      <c r="E270" s="26" t="s">
        <v>22</v>
      </c>
      <c r="F270" s="27">
        <v>9.5</v>
      </c>
      <c r="G270" s="27">
        <f t="shared" ref="G270:G271" si="129">+F270*$F$221</f>
        <v>247</v>
      </c>
      <c r="N270" s="32"/>
    </row>
    <row r="271" spans="1:14" s="31" customFormat="1" x14ac:dyDescent="0.1">
      <c r="A271" s="24">
        <v>46197</v>
      </c>
      <c r="B271" s="25" t="s">
        <v>46</v>
      </c>
      <c r="C271" s="41">
        <v>2148</v>
      </c>
      <c r="D271" s="25" t="s">
        <v>47</v>
      </c>
      <c r="E271" s="26" t="s">
        <v>22</v>
      </c>
      <c r="F271" s="27">
        <v>9</v>
      </c>
      <c r="G271" s="27">
        <f t="shared" si="129"/>
        <v>234</v>
      </c>
      <c r="N271" s="32"/>
    </row>
    <row r="272" spans="1:14" s="31" customFormat="1" x14ac:dyDescent="0.1">
      <c r="A272" s="24">
        <v>46198</v>
      </c>
      <c r="B272" s="25" t="s">
        <v>51</v>
      </c>
      <c r="C272" s="41">
        <v>2150</v>
      </c>
      <c r="D272" s="25" t="s">
        <v>47</v>
      </c>
      <c r="E272" s="26" t="s">
        <v>22</v>
      </c>
      <c r="F272" s="27">
        <v>9.5</v>
      </c>
      <c r="G272" s="27">
        <f t="shared" ref="G272" si="130">+F272*$F$221</f>
        <v>247</v>
      </c>
      <c r="N272" s="32"/>
    </row>
    <row r="273" spans="1:14" s="31" customFormat="1" x14ac:dyDescent="0.1">
      <c r="A273" s="24">
        <v>46199</v>
      </c>
      <c r="B273" s="25" t="s">
        <v>52</v>
      </c>
      <c r="C273" s="41">
        <v>2151</v>
      </c>
      <c r="D273" s="25" t="s">
        <v>47</v>
      </c>
      <c r="E273" s="26" t="s">
        <v>22</v>
      </c>
      <c r="F273" s="27">
        <v>9.5</v>
      </c>
      <c r="G273" s="27">
        <f t="shared" ref="G273" si="131">+F273*$F$221</f>
        <v>247</v>
      </c>
      <c r="N273" s="32"/>
    </row>
    <row r="274" spans="1:14" s="31" customFormat="1" x14ac:dyDescent="0.1">
      <c r="A274" s="24">
        <v>46200</v>
      </c>
      <c r="B274" s="25" t="s">
        <v>53</v>
      </c>
      <c r="C274" s="41">
        <v>2152</v>
      </c>
      <c r="D274" s="25" t="s">
        <v>47</v>
      </c>
      <c r="E274" s="26" t="s">
        <v>22</v>
      </c>
      <c r="F274" s="27">
        <v>5</v>
      </c>
      <c r="G274" s="27">
        <f t="shared" ref="G274" si="132">+F274*$F$221</f>
        <v>130</v>
      </c>
      <c r="N274" s="32"/>
    </row>
    <row r="275" spans="1:14" s="31" customFormat="1" ht="14.25" x14ac:dyDescent="0.15">
      <c r="A275" s="24"/>
      <c r="B275" s="28"/>
      <c r="C275" s="25"/>
      <c r="D275" s="25"/>
      <c r="E275" s="29"/>
      <c r="F275" s="30">
        <f>SUM(F269:F274)</f>
        <v>51.5</v>
      </c>
      <c r="G275" s="30">
        <f>SUM(G269:G274)</f>
        <v>1339</v>
      </c>
      <c r="N275" s="32"/>
    </row>
    <row r="276" spans="1:14" s="31" customFormat="1" x14ac:dyDescent="0.1">
      <c r="A276" s="24">
        <v>46202</v>
      </c>
      <c r="B276" s="25" t="s">
        <v>28</v>
      </c>
      <c r="C276" s="41">
        <v>2153</v>
      </c>
      <c r="D276" s="25" t="s">
        <v>47</v>
      </c>
      <c r="E276" s="26" t="s">
        <v>22</v>
      </c>
      <c r="F276" s="27">
        <v>9.5</v>
      </c>
      <c r="G276" s="27">
        <f t="shared" ref="G276" si="133">+F276*$F$221</f>
        <v>247</v>
      </c>
      <c r="N276" s="32"/>
    </row>
    <row r="277" spans="1:14" s="31" customFormat="1" ht="14.25" x14ac:dyDescent="0.15">
      <c r="A277" s="24"/>
      <c r="B277" s="28"/>
      <c r="C277" s="25"/>
      <c r="D277" s="25"/>
      <c r="E277" s="29"/>
      <c r="F277" s="30">
        <f>SUM(F276:F276)</f>
        <v>9.5</v>
      </c>
      <c r="G277" s="30">
        <f>SUM(G276:G276)</f>
        <v>247</v>
      </c>
      <c r="N277" s="32"/>
    </row>
    <row r="278" spans="1:14" s="31" customFormat="1" ht="14.25" x14ac:dyDescent="0.15">
      <c r="A278" s="33"/>
      <c r="B278" s="33"/>
      <c r="C278" s="33"/>
      <c r="D278" s="33"/>
      <c r="E278" s="34" t="s">
        <v>7</v>
      </c>
      <c r="F278" s="35"/>
      <c r="G278" s="36">
        <f>+G226+G233+G240+G247+G254+G261+G268+G275+G277</f>
        <v>9529</v>
      </c>
      <c r="N278" s="32"/>
    </row>
    <row r="281" spans="1:14" ht="15" x14ac:dyDescent="0.2">
      <c r="A281" s="16" t="s">
        <v>15</v>
      </c>
      <c r="B281" s="17" t="s">
        <v>16</v>
      </c>
      <c r="C281" s="18"/>
      <c r="D281" s="18"/>
      <c r="E281" s="18"/>
      <c r="F281" s="18"/>
      <c r="G281" s="18"/>
    </row>
    <row r="282" spans="1:14" ht="15" x14ac:dyDescent="0.2">
      <c r="A282" s="16" t="s">
        <v>17</v>
      </c>
      <c r="B282" s="17" t="s">
        <v>78</v>
      </c>
      <c r="C282" s="18"/>
      <c r="D282" s="18"/>
      <c r="E282" s="18"/>
      <c r="F282" s="18"/>
      <c r="G282" s="18"/>
    </row>
    <row r="283" spans="1:14" ht="15" x14ac:dyDescent="0.2">
      <c r="A283" s="16" t="s">
        <v>19</v>
      </c>
      <c r="B283" s="19" t="s">
        <v>20</v>
      </c>
      <c r="C283" s="18"/>
      <c r="D283" s="18"/>
      <c r="E283" s="20" t="s">
        <v>21</v>
      </c>
      <c r="F283" s="21">
        <v>53</v>
      </c>
      <c r="G283" s="18" t="s">
        <v>22</v>
      </c>
    </row>
    <row r="284" spans="1:14" x14ac:dyDescent="0.15">
      <c r="A284" s="18"/>
      <c r="B284" s="18"/>
      <c r="C284" s="18"/>
      <c r="D284" s="18"/>
      <c r="E284" s="22"/>
      <c r="F284" s="22"/>
      <c r="G284" s="18"/>
    </row>
    <row r="285" spans="1:14" x14ac:dyDescent="0.15">
      <c r="A285" s="23" t="s">
        <v>23</v>
      </c>
      <c r="B285" s="23" t="s">
        <v>10</v>
      </c>
      <c r="C285" s="23" t="s">
        <v>24</v>
      </c>
      <c r="D285" s="23" t="s">
        <v>25</v>
      </c>
      <c r="E285" s="23" t="s">
        <v>26</v>
      </c>
      <c r="F285" s="23" t="s">
        <v>12</v>
      </c>
      <c r="G285" s="23" t="s">
        <v>27</v>
      </c>
    </row>
    <row r="286" spans="1:14" hidden="1" x14ac:dyDescent="0.1">
      <c r="A286" s="24">
        <v>46153</v>
      </c>
      <c r="B286" s="25" t="s">
        <v>28</v>
      </c>
      <c r="C286" s="37">
        <v>1812</v>
      </c>
      <c r="D286" s="25" t="s">
        <v>29</v>
      </c>
      <c r="E286" s="26" t="s">
        <v>22</v>
      </c>
      <c r="F286" s="27">
        <v>6</v>
      </c>
      <c r="G286" s="27">
        <f>+$F$283*F286</f>
        <v>318</v>
      </c>
      <c r="H286" t="s">
        <v>57</v>
      </c>
    </row>
    <row r="287" spans="1:14" hidden="1" x14ac:dyDescent="0.1">
      <c r="A287" s="24">
        <v>46154</v>
      </c>
      <c r="B287" s="25" t="s">
        <v>45</v>
      </c>
      <c r="C287" s="37">
        <v>1814</v>
      </c>
      <c r="D287" s="25" t="s">
        <v>29</v>
      </c>
      <c r="E287" s="26" t="s">
        <v>22</v>
      </c>
      <c r="F287" s="27">
        <v>6.5</v>
      </c>
      <c r="G287" s="27">
        <f>+$F$283*F287</f>
        <v>344.5</v>
      </c>
      <c r="H287" t="s">
        <v>57</v>
      </c>
    </row>
    <row r="288" spans="1:14" hidden="1" x14ac:dyDescent="0.1">
      <c r="A288" s="24">
        <v>46155</v>
      </c>
      <c r="B288" s="25" t="s">
        <v>46</v>
      </c>
      <c r="C288" s="37">
        <v>1815</v>
      </c>
      <c r="D288" s="25" t="s">
        <v>29</v>
      </c>
      <c r="E288" s="26" t="s">
        <v>22</v>
      </c>
      <c r="F288" s="27">
        <v>8.5</v>
      </c>
      <c r="G288" s="27">
        <f>+$F$283*F288</f>
        <v>450.5</v>
      </c>
      <c r="H288" t="s">
        <v>57</v>
      </c>
    </row>
    <row r="289" spans="1:13" hidden="1" x14ac:dyDescent="0.1">
      <c r="A289" s="24">
        <v>46156</v>
      </c>
      <c r="B289" s="25" t="s">
        <v>51</v>
      </c>
      <c r="C289" s="37">
        <v>1818</v>
      </c>
      <c r="D289" s="25" t="s">
        <v>29</v>
      </c>
      <c r="E289" s="26" t="s">
        <v>22</v>
      </c>
      <c r="F289" s="27">
        <v>10.4</v>
      </c>
      <c r="G289" s="27">
        <f>+$F$283*F289</f>
        <v>551.20000000000005</v>
      </c>
      <c r="H289" t="s">
        <v>57</v>
      </c>
    </row>
    <row r="290" spans="1:13" hidden="1" x14ac:dyDescent="0.1">
      <c r="A290" s="24">
        <v>46157</v>
      </c>
      <c r="B290" s="25" t="s">
        <v>52</v>
      </c>
      <c r="C290" s="37">
        <v>1819</v>
      </c>
      <c r="D290" s="25" t="s">
        <v>29</v>
      </c>
      <c r="E290" s="26" t="s">
        <v>22</v>
      </c>
      <c r="F290" s="27">
        <v>9</v>
      </c>
      <c r="G290" s="27">
        <f t="shared" ref="G290:G291" si="134">+$F$283*F290</f>
        <v>477</v>
      </c>
      <c r="H290" t="s">
        <v>57</v>
      </c>
    </row>
    <row r="291" spans="1:13" hidden="1" x14ac:dyDescent="0.1">
      <c r="A291" s="24">
        <v>46158</v>
      </c>
      <c r="B291" s="25" t="s">
        <v>53</v>
      </c>
      <c r="C291" s="37">
        <v>1820</v>
      </c>
      <c r="D291" s="25" t="s">
        <v>29</v>
      </c>
      <c r="E291" s="26" t="s">
        <v>22</v>
      </c>
      <c r="F291" s="27">
        <v>7.5</v>
      </c>
      <c r="G291" s="27">
        <f t="shared" si="134"/>
        <v>397.5</v>
      </c>
      <c r="H291" t="s">
        <v>57</v>
      </c>
    </row>
    <row r="292" spans="1:13" ht="14.25" hidden="1" x14ac:dyDescent="0.15">
      <c r="A292" s="24"/>
      <c r="B292" s="28"/>
      <c r="C292" s="25"/>
      <c r="D292" s="25"/>
      <c r="E292" s="29"/>
      <c r="F292" s="30">
        <f>SUM(F286:F291)</f>
        <v>47.9</v>
      </c>
      <c r="G292" s="30">
        <f>SUM(G286:G291)</f>
        <v>2538.6999999999998</v>
      </c>
      <c r="H292" s="40">
        <f>+G292</f>
        <v>2538.6999999999998</v>
      </c>
    </row>
    <row r="293" spans="1:13" hidden="1" x14ac:dyDescent="0.1">
      <c r="A293" s="24">
        <v>46160</v>
      </c>
      <c r="B293" s="25" t="s">
        <v>28</v>
      </c>
      <c r="C293" s="37">
        <v>1821</v>
      </c>
      <c r="D293" s="25" t="s">
        <v>29</v>
      </c>
      <c r="E293" s="26" t="s">
        <v>22</v>
      </c>
      <c r="F293" s="27">
        <v>9.5</v>
      </c>
      <c r="G293" s="27">
        <f>+$F$283*F293</f>
        <v>503.5</v>
      </c>
      <c r="H293" t="s">
        <v>57</v>
      </c>
    </row>
    <row r="294" spans="1:13" hidden="1" x14ac:dyDescent="0.1">
      <c r="A294" s="24">
        <v>46161</v>
      </c>
      <c r="B294" s="25" t="s">
        <v>45</v>
      </c>
      <c r="C294" s="37">
        <v>1822</v>
      </c>
      <c r="D294" s="25" t="s">
        <v>29</v>
      </c>
      <c r="E294" s="26" t="s">
        <v>22</v>
      </c>
      <c r="F294" s="27">
        <v>8.6</v>
      </c>
      <c r="G294" s="27">
        <f t="shared" ref="G294:G295" si="135">+$F$283*F294</f>
        <v>455.79999999999995</v>
      </c>
      <c r="H294" t="s">
        <v>57</v>
      </c>
    </row>
    <row r="295" spans="1:13" hidden="1" x14ac:dyDescent="0.1">
      <c r="A295" s="24">
        <v>46162</v>
      </c>
      <c r="B295" s="25" t="s">
        <v>46</v>
      </c>
      <c r="C295" s="37">
        <v>1823</v>
      </c>
      <c r="D295" s="25" t="s">
        <v>29</v>
      </c>
      <c r="E295" s="26" t="s">
        <v>22</v>
      </c>
      <c r="F295" s="27">
        <v>9</v>
      </c>
      <c r="G295" s="27">
        <f t="shared" si="135"/>
        <v>477</v>
      </c>
      <c r="H295" t="s">
        <v>57</v>
      </c>
    </row>
    <row r="296" spans="1:13" hidden="1" x14ac:dyDescent="0.1">
      <c r="A296" s="24">
        <v>46163</v>
      </c>
      <c r="B296" s="25" t="s">
        <v>51</v>
      </c>
      <c r="C296" s="37">
        <v>1824</v>
      </c>
      <c r="D296" s="25" t="s">
        <v>29</v>
      </c>
      <c r="E296" s="26" t="s">
        <v>22</v>
      </c>
      <c r="F296" s="27">
        <v>9.5</v>
      </c>
      <c r="G296" s="27">
        <f t="shared" ref="G296" si="136">+$F$283*F296</f>
        <v>503.5</v>
      </c>
      <c r="H296" t="s">
        <v>57</v>
      </c>
    </row>
    <row r="297" spans="1:13" hidden="1" x14ac:dyDescent="0.1">
      <c r="A297" s="24">
        <v>46164</v>
      </c>
      <c r="B297" s="25" t="s">
        <v>52</v>
      </c>
      <c r="C297" s="37">
        <v>1825</v>
      </c>
      <c r="D297" s="25" t="s">
        <v>29</v>
      </c>
      <c r="E297" s="26" t="s">
        <v>22</v>
      </c>
      <c r="F297" s="27">
        <v>9.5</v>
      </c>
      <c r="G297" s="27">
        <f t="shared" ref="G297" si="137">+$F$283*F297</f>
        <v>503.5</v>
      </c>
      <c r="H297" t="s">
        <v>57</v>
      </c>
    </row>
    <row r="298" spans="1:13" hidden="1" x14ac:dyDescent="0.1">
      <c r="A298" s="24">
        <v>46165</v>
      </c>
      <c r="B298" s="25" t="s">
        <v>53</v>
      </c>
      <c r="C298" s="37">
        <v>1826</v>
      </c>
      <c r="D298" s="25" t="s">
        <v>29</v>
      </c>
      <c r="E298" s="26" t="s">
        <v>22</v>
      </c>
      <c r="F298" s="27">
        <v>8</v>
      </c>
      <c r="G298" s="27">
        <f t="shared" ref="G298" si="138">+$F$283*F298</f>
        <v>424</v>
      </c>
      <c r="H298" t="s">
        <v>57</v>
      </c>
      <c r="L298" s="40"/>
      <c r="M298" s="40"/>
    </row>
    <row r="299" spans="1:13" ht="14.25" hidden="1" x14ac:dyDescent="0.15">
      <c r="A299" s="24"/>
      <c r="B299" s="28"/>
      <c r="C299" s="25"/>
      <c r="D299" s="25"/>
      <c r="E299" s="29"/>
      <c r="F299" s="30">
        <f>SUM(F293:F298)</f>
        <v>54.1</v>
      </c>
      <c r="G299" s="30">
        <f>SUM(G293:G298)</f>
        <v>2867.3</v>
      </c>
      <c r="H299" s="40">
        <f>+G299</f>
        <v>2867.3</v>
      </c>
      <c r="K299" s="40"/>
      <c r="L299" s="40"/>
    </row>
    <row r="300" spans="1:13" hidden="1" x14ac:dyDescent="0.1">
      <c r="A300" s="24">
        <v>46167</v>
      </c>
      <c r="B300" s="25" t="s">
        <v>28</v>
      </c>
      <c r="C300" s="37">
        <v>1830</v>
      </c>
      <c r="D300" s="25" t="s">
        <v>29</v>
      </c>
      <c r="E300" s="26" t="s">
        <v>22</v>
      </c>
      <c r="F300" s="27">
        <v>6.5</v>
      </c>
      <c r="G300" s="27">
        <f t="shared" ref="G300:G305" si="139">+$F$283*F300</f>
        <v>344.5</v>
      </c>
      <c r="H300" t="s">
        <v>57</v>
      </c>
    </row>
    <row r="301" spans="1:13" hidden="1" x14ac:dyDescent="0.1">
      <c r="A301" s="24">
        <v>46168</v>
      </c>
      <c r="B301" s="25" t="s">
        <v>45</v>
      </c>
      <c r="C301" s="37">
        <v>1829</v>
      </c>
      <c r="D301" s="25" t="s">
        <v>29</v>
      </c>
      <c r="E301" s="26" t="s">
        <v>22</v>
      </c>
      <c r="F301" s="27">
        <v>9.5</v>
      </c>
      <c r="G301" s="27">
        <f t="shared" si="139"/>
        <v>503.5</v>
      </c>
      <c r="H301" t="s">
        <v>57</v>
      </c>
    </row>
    <row r="302" spans="1:13" hidden="1" x14ac:dyDescent="0.1">
      <c r="A302" s="24">
        <v>46169</v>
      </c>
      <c r="B302" s="25" t="s">
        <v>46</v>
      </c>
      <c r="C302" s="37">
        <v>1831</v>
      </c>
      <c r="D302" s="25" t="s">
        <v>29</v>
      </c>
      <c r="E302" s="26" t="s">
        <v>22</v>
      </c>
      <c r="F302" s="27">
        <v>9.5</v>
      </c>
      <c r="G302" s="27">
        <f t="shared" si="139"/>
        <v>503.5</v>
      </c>
      <c r="H302" t="s">
        <v>57</v>
      </c>
    </row>
    <row r="303" spans="1:13" hidden="1" x14ac:dyDescent="0.1">
      <c r="A303" s="24">
        <v>46170</v>
      </c>
      <c r="B303" s="25" t="s">
        <v>51</v>
      </c>
      <c r="C303" s="37">
        <v>1832</v>
      </c>
      <c r="D303" s="25" t="s">
        <v>29</v>
      </c>
      <c r="E303" s="26" t="s">
        <v>22</v>
      </c>
      <c r="F303" s="27">
        <v>11.5</v>
      </c>
      <c r="G303" s="27">
        <f t="shared" si="139"/>
        <v>609.5</v>
      </c>
      <c r="H303" t="s">
        <v>57</v>
      </c>
    </row>
    <row r="304" spans="1:13" hidden="1" x14ac:dyDescent="0.1">
      <c r="A304" s="24">
        <v>46171</v>
      </c>
      <c r="B304" s="25" t="s">
        <v>52</v>
      </c>
      <c r="C304" s="37">
        <v>1833</v>
      </c>
      <c r="D304" s="25" t="s">
        <v>29</v>
      </c>
      <c r="E304" s="26" t="s">
        <v>22</v>
      </c>
      <c r="F304" s="27">
        <f>8+4.5</f>
        <v>12.5</v>
      </c>
      <c r="G304" s="27">
        <f t="shared" si="139"/>
        <v>662.5</v>
      </c>
      <c r="H304" t="s">
        <v>57</v>
      </c>
    </row>
    <row r="305" spans="1:8" hidden="1" x14ac:dyDescent="0.1">
      <c r="A305" s="24">
        <v>46172</v>
      </c>
      <c r="B305" s="25" t="s">
        <v>53</v>
      </c>
      <c r="C305" s="37">
        <v>1835</v>
      </c>
      <c r="D305" s="25" t="s">
        <v>29</v>
      </c>
      <c r="E305" s="26" t="s">
        <v>22</v>
      </c>
      <c r="F305" s="27">
        <v>9</v>
      </c>
      <c r="G305" s="27">
        <f t="shared" si="139"/>
        <v>477</v>
      </c>
      <c r="H305" t="s">
        <v>57</v>
      </c>
    </row>
    <row r="306" spans="1:8" ht="14.25" hidden="1" x14ac:dyDescent="0.15">
      <c r="A306" s="24"/>
      <c r="B306" s="28"/>
      <c r="C306" s="25"/>
      <c r="D306" s="25"/>
      <c r="E306" s="29"/>
      <c r="F306" s="30">
        <f>SUM(F300:F305)</f>
        <v>58.5</v>
      </c>
      <c r="G306" s="30">
        <f>SUM(G300:G305)</f>
        <v>3100.5</v>
      </c>
    </row>
    <row r="307" spans="1:8" hidden="1" x14ac:dyDescent="0.1">
      <c r="A307" s="24">
        <v>46174</v>
      </c>
      <c r="B307" s="25" t="s">
        <v>28</v>
      </c>
      <c r="C307" s="37">
        <v>1836</v>
      </c>
      <c r="D307" s="25" t="s">
        <v>29</v>
      </c>
      <c r="E307" s="26" t="s">
        <v>22</v>
      </c>
      <c r="F307" s="27">
        <v>6</v>
      </c>
      <c r="G307" s="27">
        <f t="shared" ref="G307" si="140">+$F$283*F307</f>
        <v>318</v>
      </c>
      <c r="H307" t="s">
        <v>57</v>
      </c>
    </row>
    <row r="308" spans="1:8" hidden="1" x14ac:dyDescent="0.1">
      <c r="A308" s="24">
        <v>46175</v>
      </c>
      <c r="B308" s="25" t="s">
        <v>45</v>
      </c>
      <c r="C308" s="37">
        <v>1837</v>
      </c>
      <c r="D308" s="25" t="s">
        <v>29</v>
      </c>
      <c r="E308" s="26" t="s">
        <v>22</v>
      </c>
      <c r="F308" s="27">
        <v>9</v>
      </c>
      <c r="G308" s="27">
        <f t="shared" ref="G308" si="141">+$F$283*F308</f>
        <v>477</v>
      </c>
      <c r="H308" t="s">
        <v>57</v>
      </c>
    </row>
    <row r="309" spans="1:8" hidden="1" x14ac:dyDescent="0.1">
      <c r="A309" s="24">
        <v>46176</v>
      </c>
      <c r="B309" s="25" t="s">
        <v>46</v>
      </c>
      <c r="C309" s="37">
        <v>1838</v>
      </c>
      <c r="D309" s="25" t="s">
        <v>29</v>
      </c>
      <c r="E309" s="26" t="s">
        <v>22</v>
      </c>
      <c r="F309" s="27">
        <v>9</v>
      </c>
      <c r="G309" s="27">
        <f t="shared" ref="G309" si="142">+$F$283*F309</f>
        <v>477</v>
      </c>
      <c r="H309" t="s">
        <v>57</v>
      </c>
    </row>
    <row r="310" spans="1:8" hidden="1" x14ac:dyDescent="0.1">
      <c r="A310" s="24">
        <v>46177</v>
      </c>
      <c r="B310" s="25" t="s">
        <v>51</v>
      </c>
      <c r="C310" s="37">
        <v>1839</v>
      </c>
      <c r="D310" s="25" t="s">
        <v>29</v>
      </c>
      <c r="E310" s="26" t="s">
        <v>22</v>
      </c>
      <c r="F310" s="27">
        <v>9.5</v>
      </c>
      <c r="G310" s="27">
        <f t="shared" ref="G310" si="143">+$F$283*F310</f>
        <v>503.5</v>
      </c>
      <c r="H310" t="s">
        <v>57</v>
      </c>
    </row>
    <row r="311" spans="1:8" hidden="1" x14ac:dyDescent="0.1">
      <c r="A311" s="24">
        <v>46178</v>
      </c>
      <c r="B311" s="25" t="s">
        <v>52</v>
      </c>
      <c r="C311" s="37">
        <v>1841</v>
      </c>
      <c r="D311" s="25" t="s">
        <v>29</v>
      </c>
      <c r="E311" s="26" t="s">
        <v>22</v>
      </c>
      <c r="F311" s="27">
        <v>8.5</v>
      </c>
      <c r="G311" s="27">
        <f t="shared" ref="G311" si="144">+$F$283*F311</f>
        <v>450.5</v>
      </c>
      <c r="H311" t="s">
        <v>57</v>
      </c>
    </row>
    <row r="312" spans="1:8" hidden="1" x14ac:dyDescent="0.1">
      <c r="A312" s="24">
        <v>46179</v>
      </c>
      <c r="B312" s="25" t="s">
        <v>53</v>
      </c>
      <c r="C312" s="37">
        <v>1842</v>
      </c>
      <c r="D312" s="25" t="s">
        <v>29</v>
      </c>
      <c r="E312" s="26" t="s">
        <v>22</v>
      </c>
      <c r="F312" s="27">
        <v>9</v>
      </c>
      <c r="G312" s="27">
        <f t="shared" ref="G312" si="145">+$F$283*F312</f>
        <v>477</v>
      </c>
      <c r="H312" t="s">
        <v>57</v>
      </c>
    </row>
    <row r="313" spans="1:8" ht="14.25" hidden="1" x14ac:dyDescent="0.15">
      <c r="A313" s="24"/>
      <c r="B313" s="28"/>
      <c r="C313" s="25"/>
      <c r="D313" s="25"/>
      <c r="E313" s="29"/>
      <c r="F313" s="30">
        <f>SUM(F307:F312)</f>
        <v>51</v>
      </c>
      <c r="G313" s="30">
        <f>SUM(G307:G312)</f>
        <v>2703</v>
      </c>
    </row>
    <row r="314" spans="1:8" hidden="1" x14ac:dyDescent="0.1">
      <c r="A314" s="24">
        <v>46181</v>
      </c>
      <c r="B314" s="25" t="s">
        <v>28</v>
      </c>
      <c r="C314" s="37">
        <v>1483</v>
      </c>
      <c r="D314" s="25" t="s">
        <v>29</v>
      </c>
      <c r="E314" s="26" t="s">
        <v>22</v>
      </c>
      <c r="F314" s="27">
        <v>9</v>
      </c>
      <c r="G314" s="27">
        <f t="shared" ref="G314" si="146">+$F$283*F314</f>
        <v>477</v>
      </c>
      <c r="H314" t="s">
        <v>57</v>
      </c>
    </row>
    <row r="315" spans="1:8" hidden="1" x14ac:dyDescent="0.1">
      <c r="A315" s="24">
        <v>46182</v>
      </c>
      <c r="B315" s="25" t="s">
        <v>45</v>
      </c>
      <c r="C315" s="37">
        <v>1844</v>
      </c>
      <c r="D315" s="25" t="s">
        <v>29</v>
      </c>
      <c r="E315" s="26" t="s">
        <v>22</v>
      </c>
      <c r="F315" s="27">
        <v>6</v>
      </c>
      <c r="G315" s="27">
        <f t="shared" ref="G315" si="147">+$F$283*F315</f>
        <v>318</v>
      </c>
      <c r="H315" t="s">
        <v>57</v>
      </c>
    </row>
    <row r="316" spans="1:8" hidden="1" x14ac:dyDescent="0.1">
      <c r="A316" s="24">
        <v>46183</v>
      </c>
      <c r="B316" s="25" t="s">
        <v>46</v>
      </c>
      <c r="C316" s="37">
        <v>1845</v>
      </c>
      <c r="D316" s="25" t="s">
        <v>29</v>
      </c>
      <c r="E316" s="26" t="s">
        <v>22</v>
      </c>
      <c r="F316" s="27">
        <v>9.5</v>
      </c>
      <c r="G316" s="27">
        <f t="shared" ref="G316" si="148">+$F$283*F316</f>
        <v>503.5</v>
      </c>
      <c r="H316" t="s">
        <v>57</v>
      </c>
    </row>
    <row r="317" spans="1:8" hidden="1" x14ac:dyDescent="0.1">
      <c r="A317" s="24">
        <v>46184</v>
      </c>
      <c r="B317" s="25" t="s">
        <v>51</v>
      </c>
      <c r="C317" s="37">
        <v>1846</v>
      </c>
      <c r="D317" s="25" t="s">
        <v>29</v>
      </c>
      <c r="E317" s="26" t="s">
        <v>22</v>
      </c>
      <c r="F317" s="27">
        <v>9</v>
      </c>
      <c r="G317" s="27">
        <f t="shared" ref="G317" si="149">+$F$283*F317</f>
        <v>477</v>
      </c>
      <c r="H317" t="s">
        <v>57</v>
      </c>
    </row>
    <row r="318" spans="1:8" hidden="1" x14ac:dyDescent="0.1">
      <c r="A318" s="24">
        <v>46185</v>
      </c>
      <c r="B318" s="25" t="s">
        <v>52</v>
      </c>
      <c r="C318" s="37">
        <v>1847</v>
      </c>
      <c r="D318" s="25" t="s">
        <v>29</v>
      </c>
      <c r="E318" s="26" t="s">
        <v>22</v>
      </c>
      <c r="F318" s="27">
        <v>9</v>
      </c>
      <c r="G318" s="27">
        <f t="shared" ref="G318" si="150">+$F$283*F318</f>
        <v>477</v>
      </c>
      <c r="H318" t="s">
        <v>57</v>
      </c>
    </row>
    <row r="319" spans="1:8" hidden="1" x14ac:dyDescent="0.1">
      <c r="A319" s="24">
        <v>46186</v>
      </c>
      <c r="B319" s="25" t="s">
        <v>53</v>
      </c>
      <c r="C319" s="37">
        <v>1848</v>
      </c>
      <c r="D319" s="25" t="s">
        <v>29</v>
      </c>
      <c r="E319" s="26" t="s">
        <v>22</v>
      </c>
      <c r="F319" s="27">
        <v>10</v>
      </c>
      <c r="G319" s="27">
        <f t="shared" ref="G319" si="151">+$F$283*F319</f>
        <v>530</v>
      </c>
      <c r="H319" t="s">
        <v>57</v>
      </c>
    </row>
    <row r="320" spans="1:8" ht="14.25" hidden="1" x14ac:dyDescent="0.15">
      <c r="A320" s="24"/>
      <c r="B320" s="28"/>
      <c r="C320" s="25"/>
      <c r="D320" s="25"/>
      <c r="E320" s="29"/>
      <c r="F320" s="30">
        <f>SUM(F314:F319)</f>
        <v>52.5</v>
      </c>
      <c r="G320" s="30">
        <f>SUM(G314:G319)</f>
        <v>2782.5</v>
      </c>
    </row>
    <row r="321" spans="1:9" hidden="1" x14ac:dyDescent="0.1">
      <c r="A321" s="24">
        <v>46188</v>
      </c>
      <c r="B321" s="25" t="s">
        <v>28</v>
      </c>
      <c r="C321" s="37">
        <v>1849</v>
      </c>
      <c r="D321" s="25" t="s">
        <v>29</v>
      </c>
      <c r="E321" s="26" t="s">
        <v>22</v>
      </c>
      <c r="F321" s="27">
        <v>9.5</v>
      </c>
      <c r="G321" s="27">
        <f t="shared" ref="G321" si="152">+$F$283*F321</f>
        <v>503.5</v>
      </c>
      <c r="H321" t="s">
        <v>57</v>
      </c>
    </row>
    <row r="322" spans="1:9" hidden="1" x14ac:dyDescent="0.1">
      <c r="A322" s="24">
        <v>46189</v>
      </c>
      <c r="B322" s="25" t="s">
        <v>45</v>
      </c>
      <c r="C322" s="37">
        <v>1850</v>
      </c>
      <c r="D322" s="25" t="s">
        <v>29</v>
      </c>
      <c r="E322" s="26" t="s">
        <v>22</v>
      </c>
      <c r="F322" s="27">
        <v>9</v>
      </c>
      <c r="G322" s="27">
        <f t="shared" ref="G322" si="153">+$F$283*F322</f>
        <v>477</v>
      </c>
      <c r="H322" t="s">
        <v>57</v>
      </c>
    </row>
    <row r="323" spans="1:9" hidden="1" x14ac:dyDescent="0.1">
      <c r="A323" s="24">
        <v>46190</v>
      </c>
      <c r="B323" s="25" t="s">
        <v>46</v>
      </c>
      <c r="C323" s="37">
        <v>1851</v>
      </c>
      <c r="D323" s="25" t="s">
        <v>29</v>
      </c>
      <c r="E323" s="26" t="s">
        <v>22</v>
      </c>
      <c r="F323" s="27">
        <v>9</v>
      </c>
      <c r="G323" s="27">
        <f t="shared" ref="G323" si="154">+$F$283*F323</f>
        <v>477</v>
      </c>
      <c r="H323" t="s">
        <v>57</v>
      </c>
    </row>
    <row r="324" spans="1:9" hidden="1" x14ac:dyDescent="0.1">
      <c r="A324" s="24">
        <v>46191</v>
      </c>
      <c r="B324" s="25" t="s">
        <v>51</v>
      </c>
      <c r="C324" s="37">
        <v>1852</v>
      </c>
      <c r="D324" s="25" t="s">
        <v>29</v>
      </c>
      <c r="E324" s="26" t="s">
        <v>22</v>
      </c>
      <c r="F324" s="27">
        <v>9</v>
      </c>
      <c r="G324" s="27">
        <f t="shared" ref="G324" si="155">+$F$283*F324</f>
        <v>477</v>
      </c>
      <c r="H324" t="s">
        <v>57</v>
      </c>
    </row>
    <row r="325" spans="1:9" hidden="1" x14ac:dyDescent="0.1">
      <c r="A325" s="24">
        <v>46192</v>
      </c>
      <c r="B325" s="25" t="s">
        <v>52</v>
      </c>
      <c r="C325" s="37">
        <v>1853</v>
      </c>
      <c r="D325" s="25" t="s">
        <v>29</v>
      </c>
      <c r="E325" s="26" t="s">
        <v>22</v>
      </c>
      <c r="F325" s="27">
        <v>9</v>
      </c>
      <c r="G325" s="27">
        <f t="shared" ref="G325" si="156">+$F$283*F325</f>
        <v>477</v>
      </c>
      <c r="H325" t="s">
        <v>57</v>
      </c>
    </row>
    <row r="326" spans="1:9" hidden="1" x14ac:dyDescent="0.1">
      <c r="A326" s="24">
        <v>46193</v>
      </c>
      <c r="B326" s="25" t="s">
        <v>53</v>
      </c>
      <c r="C326" s="37">
        <v>1854</v>
      </c>
      <c r="D326" s="25" t="s">
        <v>29</v>
      </c>
      <c r="E326" s="26" t="s">
        <v>22</v>
      </c>
      <c r="F326" s="27">
        <v>4.5</v>
      </c>
      <c r="G326" s="27">
        <f t="shared" ref="G326" si="157">+$F$283*F326</f>
        <v>238.5</v>
      </c>
      <c r="H326" t="s">
        <v>57</v>
      </c>
    </row>
    <row r="327" spans="1:9" ht="14.25" hidden="1" x14ac:dyDescent="0.15">
      <c r="A327" s="24"/>
      <c r="B327" s="28"/>
      <c r="C327" s="25"/>
      <c r="D327" s="25"/>
      <c r="E327" s="29"/>
      <c r="F327" s="30">
        <f>SUM(F321:F326)</f>
        <v>50</v>
      </c>
      <c r="G327" s="30">
        <f>SUM(G321:G326)</f>
        <v>2650</v>
      </c>
      <c r="H327" s="40">
        <f>+F313+F320+F327</f>
        <v>153.5</v>
      </c>
      <c r="I327">
        <f>+H327*53</f>
        <v>8135.5</v>
      </c>
    </row>
    <row r="328" spans="1:9" x14ac:dyDescent="0.1">
      <c r="A328" s="24">
        <v>46195</v>
      </c>
      <c r="B328" s="25" t="s">
        <v>28</v>
      </c>
      <c r="C328" s="41">
        <v>1855</v>
      </c>
      <c r="D328" s="25" t="s">
        <v>73</v>
      </c>
      <c r="E328" s="26" t="s">
        <v>22</v>
      </c>
      <c r="F328" s="27">
        <v>7</v>
      </c>
      <c r="G328" s="27">
        <f t="shared" ref="G328" si="158">+$F$283*F328</f>
        <v>371</v>
      </c>
    </row>
    <row r="329" spans="1:9" x14ac:dyDescent="0.1">
      <c r="A329" s="24">
        <v>46196</v>
      </c>
      <c r="B329" s="25" t="s">
        <v>45</v>
      </c>
      <c r="C329" s="41">
        <v>1857</v>
      </c>
      <c r="D329" s="25" t="s">
        <v>73</v>
      </c>
      <c r="E329" s="26" t="s">
        <v>22</v>
      </c>
      <c r="F329" s="27">
        <v>10.25</v>
      </c>
      <c r="G329" s="27">
        <f t="shared" ref="G329:G331" si="159">+$F$283*F329</f>
        <v>543.25</v>
      </c>
    </row>
    <row r="330" spans="1:9" x14ac:dyDescent="0.1">
      <c r="A330" s="24">
        <v>46197</v>
      </c>
      <c r="B330" s="25" t="s">
        <v>46</v>
      </c>
      <c r="C330" s="41" t="s">
        <v>62</v>
      </c>
      <c r="D330" s="25"/>
      <c r="E330" s="26" t="s">
        <v>22</v>
      </c>
      <c r="F330" s="27">
        <v>0</v>
      </c>
      <c r="G330" s="27">
        <f t="shared" si="159"/>
        <v>0</v>
      </c>
    </row>
    <row r="331" spans="1:9" x14ac:dyDescent="0.1">
      <c r="A331" s="24">
        <v>46198</v>
      </c>
      <c r="B331" s="25" t="s">
        <v>51</v>
      </c>
      <c r="C331" s="41">
        <v>1858</v>
      </c>
      <c r="D331" s="25" t="s">
        <v>76</v>
      </c>
      <c r="E331" s="26" t="s">
        <v>22</v>
      </c>
      <c r="F331" s="27">
        <v>9.5</v>
      </c>
      <c r="G331" s="27">
        <f t="shared" si="159"/>
        <v>503.5</v>
      </c>
    </row>
    <row r="332" spans="1:9" x14ac:dyDescent="0.1">
      <c r="A332" s="24">
        <v>46199</v>
      </c>
      <c r="B332" s="25" t="s">
        <v>52</v>
      </c>
      <c r="C332" s="41">
        <v>1861</v>
      </c>
      <c r="D332" s="25" t="s">
        <v>76</v>
      </c>
      <c r="E332" s="26" t="s">
        <v>22</v>
      </c>
      <c r="F332" s="27">
        <v>9</v>
      </c>
      <c r="G332" s="27">
        <f t="shared" ref="G332" si="160">+$F$283*F332</f>
        <v>477</v>
      </c>
    </row>
    <row r="333" spans="1:9" x14ac:dyDescent="0.1">
      <c r="A333" s="24">
        <v>46200</v>
      </c>
      <c r="B333" s="25" t="s">
        <v>53</v>
      </c>
      <c r="C333" s="41">
        <v>1862</v>
      </c>
      <c r="D333" s="25" t="s">
        <v>76</v>
      </c>
      <c r="E333" s="26" t="s">
        <v>22</v>
      </c>
      <c r="F333" s="27">
        <v>4.5</v>
      </c>
      <c r="G333" s="27">
        <f t="shared" ref="G333" si="161">+$F$283*F333</f>
        <v>238.5</v>
      </c>
    </row>
    <row r="334" spans="1:9" ht="14.25" x14ac:dyDescent="0.15">
      <c r="A334" s="24"/>
      <c r="B334" s="28"/>
      <c r="C334" s="25"/>
      <c r="D334" s="25"/>
      <c r="E334" s="29"/>
      <c r="F334" s="53">
        <f>SUM(F328:F333)</f>
        <v>40.25</v>
      </c>
      <c r="G334" s="53">
        <f>SUM(G328:G333)</f>
        <v>2133.25</v>
      </c>
    </row>
    <row r="335" spans="1:9" x14ac:dyDescent="0.1">
      <c r="A335" s="24">
        <v>46202</v>
      </c>
      <c r="B335" s="25" t="s">
        <v>28</v>
      </c>
      <c r="C335" s="41" t="s">
        <v>79</v>
      </c>
      <c r="D335" s="25" t="s">
        <v>76</v>
      </c>
      <c r="E335" s="26" t="s">
        <v>22</v>
      </c>
      <c r="F335" s="27">
        <v>0</v>
      </c>
      <c r="G335" s="27">
        <f t="shared" ref="G335" si="162">+$F$283*F335</f>
        <v>0</v>
      </c>
    </row>
    <row r="336" spans="1:9" ht="14.25" x14ac:dyDescent="0.15">
      <c r="A336" s="24"/>
      <c r="B336" s="28"/>
      <c r="C336" s="25"/>
      <c r="D336" s="25"/>
      <c r="E336" s="29"/>
      <c r="F336" s="30">
        <f>SUM(F335:F335)</f>
        <v>0</v>
      </c>
      <c r="G336" s="53">
        <f>SUM(G335:G335)</f>
        <v>0</v>
      </c>
    </row>
    <row r="337" spans="1:7" ht="14.25" x14ac:dyDescent="0.15">
      <c r="A337" s="33"/>
      <c r="B337" s="33"/>
      <c r="C337" s="33"/>
      <c r="D337" s="33"/>
      <c r="E337" s="34" t="s">
        <v>7</v>
      </c>
      <c r="F337" s="35"/>
      <c r="G337" s="36">
        <f>+G292+G299+G306+G313+G320+G327+G334+G336</f>
        <v>18775.25</v>
      </c>
    </row>
  </sheetData>
  <autoFilter ref="A2:I2" xr:uid="{00000000-0001-0000-0000-000000000000}"/>
  <mergeCells count="4">
    <mergeCell ref="A204:G204"/>
    <mergeCell ref="A205:G205"/>
    <mergeCell ref="A1:J1"/>
    <mergeCell ref="A203:G203"/>
  </mergeCells>
  <phoneticPr fontId="17" type="noConversion"/>
  <pageMargins left="0.70866141732283472" right="0.70866141732283472" top="0.74803149606299213" bottom="0.74803149606299213" header="0.31496062992125984" footer="0.31496062992125984"/>
  <pageSetup paperSize="9" scale="78" fitToHeight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REPORTES  VOLQUETAS2.xlsx</dc:title>
  <dc:creator>luis garcia</dc:creator>
  <cp:lastModifiedBy>luis garcia</cp:lastModifiedBy>
  <cp:lastPrinted>2026-06-30T03:33:05Z</cp:lastPrinted>
  <dcterms:created xsi:type="dcterms:W3CDTF">2025-05-28T01:53:56Z</dcterms:created>
  <dcterms:modified xsi:type="dcterms:W3CDTF">2026-06-30T14:18:26Z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2025-05-22T00:00:00Z</vt:filetime>
  </property>
  <property fmtid="{D5CDD505-2E9C-101B-9397-08002B2CF9AE}" pid="3" name="LastSaved">
    <vt:filetime>2025-05-28T00:00:00Z</vt:filetime>
  </property>
  <property fmtid="{D5CDD505-2E9C-101B-9397-08002B2CF9AE}" pid="4" name="Producer">
    <vt:lpwstr>Microsoft: Print To PDF</vt:lpwstr>
  </property>
</Properties>
</file>