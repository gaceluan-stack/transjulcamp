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uk\OneDrive\Escritorio\TRANSJULCAMP - JULIO CAMPOVERDE\Reportes de Clientes\"/>
    </mc:Choice>
  </mc:AlternateContent>
  <xr:revisionPtr revIDLastSave="0" documentId="8_{069D79EC-C912-F245-9F00-C370973CC2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YDRIAPAC" sheetId="3" r:id="rId1"/>
    <sheet name="Hoja1" sheetId="4" r:id="rId2"/>
  </sheets>
  <definedNames>
    <definedName name="_xlnm._FilterDatabase" localSheetId="0" hidden="1">HYDRIAPAC!$A$4:$M$62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" i="3" l="1"/>
  <c r="G60" i="3"/>
  <c r="G59" i="3"/>
  <c r="G58" i="3"/>
  <c r="G62" i="3"/>
  <c r="G56" i="3"/>
  <c r="G55" i="3"/>
  <c r="G54" i="3"/>
  <c r="G53" i="3"/>
  <c r="G49" i="3"/>
  <c r="G48" i="3"/>
  <c r="G50" i="3"/>
  <c r="G52" i="3"/>
  <c r="G51" i="3"/>
  <c r="G45" i="3"/>
  <c r="G47" i="3"/>
  <c r="G46" i="3"/>
  <c r="G44" i="3"/>
  <c r="G43" i="3"/>
  <c r="G42" i="3"/>
  <c r="G41" i="3"/>
  <c r="G40" i="3"/>
  <c r="G39" i="3"/>
  <c r="G38" i="3"/>
  <c r="G57" i="3"/>
  <c r="G34" i="3"/>
  <c r="G32" i="3"/>
  <c r="G33" i="3"/>
  <c r="G35" i="3"/>
  <c r="G36" i="3"/>
  <c r="G29" i="3"/>
  <c r="G30" i="3"/>
  <c r="G31" i="3"/>
  <c r="G28" i="3"/>
  <c r="G27" i="3"/>
  <c r="G26" i="3"/>
  <c r="G25" i="3"/>
  <c r="G24" i="3"/>
  <c r="G9" i="3"/>
  <c r="G20" i="3"/>
  <c r="G23" i="3"/>
  <c r="G22" i="3"/>
  <c r="G21" i="3"/>
  <c r="G10" i="3"/>
  <c r="G17" i="3"/>
  <c r="G15" i="3"/>
  <c r="G18" i="3"/>
  <c r="G12" i="3"/>
  <c r="G14" i="3"/>
  <c r="G11" i="3"/>
  <c r="G13" i="3"/>
  <c r="G16" i="3"/>
  <c r="G19" i="3"/>
  <c r="G7" i="3"/>
  <c r="G5" i="3"/>
  <c r="G6" i="3"/>
  <c r="G8" i="3"/>
  <c r="G37" i="3"/>
  <c r="Y13" i="4"/>
  <c r="Y12" i="4"/>
  <c r="Y11" i="4"/>
  <c r="Y5" i="4"/>
  <c r="Y8" i="4"/>
  <c r="Y7" i="4"/>
  <c r="Y6" i="4"/>
  <c r="Y4" i="4"/>
  <c r="Y3" i="4"/>
  <c r="Y2" i="4"/>
  <c r="Y1" i="4"/>
</calcChain>
</file>

<file path=xl/sharedStrings.xml><?xml version="1.0" encoding="utf-8"?>
<sst xmlns="http://schemas.openxmlformats.org/spreadsheetml/2006/main" count="286" uniqueCount="70">
  <si>
    <r>
      <rPr>
        <b/>
        <sz val="8.5"/>
        <color rgb="FFFFFFFF"/>
        <rFont val="Tahoma"/>
        <family val="2"/>
      </rPr>
      <t>FECHA</t>
    </r>
  </si>
  <si>
    <r>
      <rPr>
        <b/>
        <sz val="8.5"/>
        <color rgb="FFFFFFFF"/>
        <rFont val="Tahoma"/>
        <family val="2"/>
      </rPr>
      <t>GUIA</t>
    </r>
  </si>
  <si>
    <r>
      <rPr>
        <b/>
        <sz val="8.5"/>
        <color rgb="FFFFFFFF"/>
        <rFont val="Tahoma"/>
        <family val="2"/>
      </rPr>
      <t>PLACA</t>
    </r>
  </si>
  <si>
    <r>
      <rPr>
        <b/>
        <sz val="8.5"/>
        <color rgb="FFFFFFFF"/>
        <rFont val="Tahoma"/>
        <family val="2"/>
      </rPr>
      <t>UNI.</t>
    </r>
  </si>
  <si>
    <r>
      <rPr>
        <b/>
        <sz val="8.5"/>
        <color rgb="FFFFFFFF"/>
        <rFont val="Tahoma"/>
        <family val="2"/>
      </rPr>
      <t>CANT.</t>
    </r>
  </si>
  <si>
    <r>
      <rPr>
        <b/>
        <sz val="8.5"/>
        <color rgb="FFFFFFFF"/>
        <rFont val="Tahoma"/>
        <family val="2"/>
      </rPr>
      <t>PRECIO</t>
    </r>
  </si>
  <si>
    <r>
      <rPr>
        <b/>
        <sz val="8.5"/>
        <color rgb="FFFFFFFF"/>
        <rFont val="Tahoma"/>
        <family val="2"/>
      </rPr>
      <t>TOTAL</t>
    </r>
  </si>
  <si>
    <r>
      <rPr>
        <b/>
        <sz val="8.5"/>
        <color rgb="FFFFFFFF"/>
        <rFont val="Tahoma"/>
        <family val="2"/>
      </rPr>
      <t>MATERIAL/DESCRIPCION</t>
    </r>
  </si>
  <si>
    <r>
      <rPr>
        <b/>
        <sz val="8.5"/>
        <color rgb="FFFFFFFF"/>
        <rFont val="Tahoma"/>
        <family val="2"/>
      </rPr>
      <t>OBRA</t>
    </r>
  </si>
  <si>
    <t>GRD0900</t>
  </si>
  <si>
    <t>M3</t>
  </si>
  <si>
    <t>GSI3442</t>
  </si>
  <si>
    <t>GSI3413</t>
  </si>
  <si>
    <t>REPORTE HYDRIAPAC</t>
  </si>
  <si>
    <t>DIA</t>
  </si>
  <si>
    <t>CAMP.SUR</t>
  </si>
  <si>
    <t>HORAS</t>
  </si>
  <si>
    <t>SUB BASE</t>
  </si>
  <si>
    <t>VIAJE</t>
  </si>
  <si>
    <t>DESALOJO</t>
  </si>
  <si>
    <t>PIEDRA 3/4</t>
  </si>
  <si>
    <t>CASCAJO</t>
  </si>
  <si>
    <t>POSORJA</t>
  </si>
  <si>
    <t>ARENA GRUESA</t>
  </si>
  <si>
    <t>ABA6883</t>
  </si>
  <si>
    <t>OC</t>
  </si>
  <si>
    <t>RC</t>
  </si>
  <si>
    <t>FACT</t>
  </si>
  <si>
    <t>PBL3806</t>
  </si>
  <si>
    <t>AURORA</t>
  </si>
  <si>
    <t>R.GABR.</t>
  </si>
  <si>
    <t>E.H/G</t>
  </si>
  <si>
    <t>E.LUIS</t>
  </si>
  <si>
    <t>R.LUIS</t>
  </si>
  <si>
    <t>JOSE</t>
  </si>
  <si>
    <t>JUEVES</t>
  </si>
  <si>
    <t>JAIR (ALQUILADA)</t>
  </si>
  <si>
    <t>HORA</t>
  </si>
  <si>
    <t>RUMICHACA</t>
  </si>
  <si>
    <t>VIERNES</t>
  </si>
  <si>
    <t>MIÉRCOLES</t>
  </si>
  <si>
    <t>FECHA</t>
  </si>
  <si>
    <t>GUIA</t>
  </si>
  <si>
    <t>OPERADOR</t>
  </si>
  <si>
    <t>UNI.</t>
  </si>
  <si>
    <t>CANTIDAD</t>
  </si>
  <si>
    <t>LUGAR</t>
  </si>
  <si>
    <t>REPORTE HYDRIAPAC RETROEXCA.</t>
  </si>
  <si>
    <t>SANI</t>
  </si>
  <si>
    <t>arena gruesa</t>
  </si>
  <si>
    <t>cascajo</t>
  </si>
  <si>
    <t>subbase</t>
  </si>
  <si>
    <t>piedra 3/4</t>
  </si>
  <si>
    <t>arena gruesa posorja</t>
  </si>
  <si>
    <t>cascajo posorja</t>
  </si>
  <si>
    <t>cascajo progreso</t>
  </si>
  <si>
    <t>ripio</t>
  </si>
  <si>
    <t>desalojo</t>
  </si>
  <si>
    <t>volqueta</t>
  </si>
  <si>
    <t>cama baja</t>
  </si>
  <si>
    <t>BEATA</t>
  </si>
  <si>
    <t>J.DEERE</t>
  </si>
  <si>
    <t>ALQUILER RETROEXCAVADORA</t>
  </si>
  <si>
    <t>SEMANA 15 al 21 Junio 2026</t>
  </si>
  <si>
    <t>CASE #1</t>
  </si>
  <si>
    <t>ALQUILER DE VOLQUETA</t>
  </si>
  <si>
    <t>SEMANA 22 al 28 Junio 2026</t>
  </si>
  <si>
    <t>CAMP. SUR</t>
  </si>
  <si>
    <t>SEMANA 29 Junio al 05 Julio 2026</t>
  </si>
  <si>
    <t>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</si>
</sst>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dd/mm/yyyy;@"/>
  </numFmts>
  <fonts count="10" x14ac:knownFonts="1">
    <font>
      <sz val="10"/>
      <color rgb="FF000000"/>
      <name val="Times New Roman"/>
      <charset val="204"/>
    </font>
    <font>
      <sz val="8.5"/>
      <color rgb="FF000000"/>
      <name val="Tahoma"/>
      <family val="2"/>
    </font>
    <font>
      <b/>
      <sz val="15"/>
      <name val="Trebuchet MS"/>
      <family val="2"/>
    </font>
    <font>
      <b/>
      <sz val="8.5"/>
      <name val="Tahoma"/>
      <family val="2"/>
    </font>
    <font>
      <sz val="8.5"/>
      <name val="Tahoma"/>
      <family val="2"/>
    </font>
    <font>
      <b/>
      <sz val="8.5"/>
      <color rgb="FFFFFFFF"/>
      <name val="Tahoma"/>
      <family val="2"/>
    </font>
    <font>
      <sz val="10"/>
      <color rgb="FF000000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02A93"/>
      </patternFill>
    </fill>
    <fill>
      <patternFill patternType="solid">
        <fgColor rgb="FFD86DCD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4"/>
    </xf>
    <xf numFmtId="164" fontId="1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2" fontId="1" fillId="0" borderId="1" xfId="0" applyNumberFormat="1" applyFont="1" applyFill="1" applyBorder="1" applyAlignment="1">
      <alignment horizontal="right" vertical="top" shrinkToFit="1"/>
    </xf>
    <xf numFmtId="0" fontId="0" fillId="3" borderId="1" xfId="0" applyFill="1" applyBorder="1" applyAlignment="1">
      <alignment horizontal="left" wrapText="1"/>
    </xf>
    <xf numFmtId="4" fontId="5" fillId="3" borderId="1" xfId="0" applyNumberFormat="1" applyFont="1" applyFill="1" applyBorder="1" applyAlignment="1">
      <alignment horizontal="right" vertical="top" shrinkToFit="1"/>
    </xf>
    <xf numFmtId="2" fontId="5" fillId="3" borderId="1" xfId="0" applyNumberFormat="1" applyFont="1" applyFill="1" applyBorder="1" applyAlignment="1">
      <alignment horizontal="right" vertical="top" shrinkToFit="1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/>
    </xf>
    <xf numFmtId="2" fontId="5" fillId="3" borderId="1" xfId="0" applyNumberFormat="1" applyFont="1" applyFill="1" applyBorder="1" applyAlignment="1">
      <alignment horizontal="center" vertical="top" shrinkToFit="1"/>
    </xf>
    <xf numFmtId="0" fontId="6" fillId="0" borderId="1" xfId="0" applyFont="1" applyFill="1" applyBorder="1" applyAlignment="1">
      <alignment horizontal="center" vertical="top" wrapText="1"/>
    </xf>
    <xf numFmtId="1" fontId="1" fillId="0" borderId="1" xfId="0" applyNumberFormat="1" applyFont="1" applyFill="1" applyBorder="1" applyAlignment="1">
      <alignment horizontal="center" vertical="top" shrinkToFit="1"/>
    </xf>
    <xf numFmtId="165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/>
    </xf>
    <xf numFmtId="4" fontId="9" fillId="5" borderId="3" xfId="0" applyNumberFormat="1" applyFont="1" applyFill="1" applyBorder="1"/>
    <xf numFmtId="0" fontId="9" fillId="5" borderId="4" xfId="0" applyFont="1" applyFill="1" applyBorder="1" applyAlignment="1">
      <alignment horizontal="center" vertical="center"/>
    </xf>
    <xf numFmtId="4" fontId="7" fillId="0" borderId="3" xfId="0" applyNumberFormat="1" applyFont="1" applyBorder="1"/>
    <xf numFmtId="0" fontId="5" fillId="3" borderId="1" xfId="0" applyFont="1" applyFill="1" applyBorder="1" applyAlignment="1">
      <alignment horizontal="center" vertical="top" wrapText="1"/>
    </xf>
    <xf numFmtId="0" fontId="0" fillId="4" borderId="0" xfId="0" applyFill="1" applyBorder="1" applyAlignment="1">
      <alignment horizontal="left" vertical="top"/>
    </xf>
    <xf numFmtId="0" fontId="4" fillId="0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Q62"/>
  <sheetViews>
    <sheetView tabSelected="1" topLeftCell="A2" workbookViewId="0">
      <selection activeCell="A5" sqref="A5"/>
    </sheetView>
  </sheetViews>
  <sheetFormatPr defaultColWidth="9.296875" defaultRowHeight="13.5" x14ac:dyDescent="0.15"/>
  <cols>
    <col min="1" max="1" width="14.09765625" customWidth="1"/>
    <col min="2" max="6" width="14.3984375" customWidth="1"/>
    <col min="7" max="7" width="20.09765625" bestFit="1" customWidth="1"/>
    <col min="8" max="8" width="31.94921875" bestFit="1" customWidth="1"/>
    <col min="9" max="9" width="8.3984375" customWidth="1"/>
    <col min="10" max="10" width="15.44921875" customWidth="1"/>
    <col min="12" max="12" width="10.94921875" style="14" bestFit="1" customWidth="1"/>
    <col min="13" max="13" width="9.296875" style="14"/>
  </cols>
  <sheetData>
    <row r="2" spans="1:17" ht="27" customHeight="1" x14ac:dyDescent="0.15">
      <c r="A2" s="31" t="s">
        <v>13</v>
      </c>
      <c r="B2" s="31"/>
      <c r="C2" s="31"/>
      <c r="D2" s="31"/>
      <c r="E2" s="31"/>
    </row>
    <row r="4" spans="1:17" ht="14.45" customHeight="1" x14ac:dyDescent="0.1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2" t="s">
        <v>5</v>
      </c>
      <c r="G4" s="2" t="s">
        <v>6</v>
      </c>
      <c r="H4" s="3" t="s">
        <v>7</v>
      </c>
      <c r="I4" s="10" t="s">
        <v>69</v>
      </c>
      <c r="J4" s="1" t="s">
        <v>8</v>
      </c>
      <c r="K4" s="10" t="s">
        <v>25</v>
      </c>
      <c r="L4" s="10" t="s">
        <v>26</v>
      </c>
      <c r="M4" s="10" t="s">
        <v>27</v>
      </c>
      <c r="N4" s="10" t="s">
        <v>31</v>
      </c>
      <c r="O4" s="10" t="s">
        <v>30</v>
      </c>
      <c r="P4" s="10" t="s">
        <v>32</v>
      </c>
      <c r="Q4" s="10" t="s">
        <v>33</v>
      </c>
    </row>
    <row r="5" spans="1:17" ht="14.45" customHeight="1" x14ac:dyDescent="0.15">
      <c r="A5" s="4">
        <v>46188</v>
      </c>
      <c r="B5" s="17">
        <v>38438</v>
      </c>
      <c r="C5" s="5" t="s">
        <v>11</v>
      </c>
      <c r="D5" s="5" t="s">
        <v>18</v>
      </c>
      <c r="E5" s="6">
        <v>1</v>
      </c>
      <c r="F5" s="6">
        <v>50.5</v>
      </c>
      <c r="G5" s="6">
        <f t="shared" ref="G5:G25" si="0">+E5*F5</f>
        <v>50.5</v>
      </c>
      <c r="H5" s="30" t="s">
        <v>19</v>
      </c>
      <c r="I5" s="16"/>
      <c r="J5" s="5" t="s">
        <v>15</v>
      </c>
      <c r="K5" s="12"/>
      <c r="L5" s="11"/>
      <c r="M5" s="11"/>
    </row>
    <row r="6" spans="1:17" ht="14.45" customHeight="1" x14ac:dyDescent="0.15">
      <c r="A6" s="4">
        <v>46188</v>
      </c>
      <c r="B6" s="17">
        <v>38440</v>
      </c>
      <c r="C6" s="5" t="s">
        <v>11</v>
      </c>
      <c r="D6" s="5" t="s">
        <v>18</v>
      </c>
      <c r="E6" s="6">
        <v>1</v>
      </c>
      <c r="F6" s="6">
        <v>50.5</v>
      </c>
      <c r="G6" s="6">
        <f t="shared" si="0"/>
        <v>50.5</v>
      </c>
      <c r="H6" s="30" t="s">
        <v>19</v>
      </c>
      <c r="I6" s="16"/>
      <c r="J6" s="5" t="s">
        <v>15</v>
      </c>
      <c r="K6" s="12"/>
      <c r="L6" s="11"/>
      <c r="M6" s="11"/>
    </row>
    <row r="7" spans="1:17" ht="14.45" customHeight="1" x14ac:dyDescent="0.15">
      <c r="A7" s="4">
        <v>46188</v>
      </c>
      <c r="B7" s="17">
        <v>38437</v>
      </c>
      <c r="C7" s="5" t="s">
        <v>11</v>
      </c>
      <c r="D7" s="5" t="s">
        <v>10</v>
      </c>
      <c r="E7" s="6">
        <v>14</v>
      </c>
      <c r="F7" s="6">
        <v>16.29</v>
      </c>
      <c r="G7" s="6">
        <f t="shared" si="0"/>
        <v>228.06</v>
      </c>
      <c r="H7" s="30" t="s">
        <v>20</v>
      </c>
      <c r="I7" s="16"/>
      <c r="J7" s="5" t="s">
        <v>15</v>
      </c>
      <c r="K7" s="12">
        <v>808</v>
      </c>
      <c r="L7" s="11">
        <v>23710</v>
      </c>
      <c r="M7" s="11"/>
    </row>
    <row r="8" spans="1:17" ht="14.45" customHeight="1" x14ac:dyDescent="0.15">
      <c r="A8" s="4">
        <v>46188</v>
      </c>
      <c r="B8" s="17">
        <v>38439</v>
      </c>
      <c r="C8" s="5" t="s">
        <v>11</v>
      </c>
      <c r="D8" s="5" t="s">
        <v>10</v>
      </c>
      <c r="E8" s="6">
        <v>14</v>
      </c>
      <c r="F8" s="6">
        <v>16.27</v>
      </c>
      <c r="G8" s="6">
        <f t="shared" si="0"/>
        <v>227.78</v>
      </c>
      <c r="H8" s="30" t="s">
        <v>17</v>
      </c>
      <c r="I8" s="16"/>
      <c r="J8" s="5" t="s">
        <v>15</v>
      </c>
      <c r="K8" s="12">
        <v>808</v>
      </c>
      <c r="L8" s="11">
        <v>23710</v>
      </c>
      <c r="M8" s="11"/>
    </row>
    <row r="9" spans="1:17" ht="14.45" customHeight="1" x14ac:dyDescent="0.15">
      <c r="A9" s="4">
        <v>46188</v>
      </c>
      <c r="B9" s="17">
        <v>2484</v>
      </c>
      <c r="C9" s="5" t="s">
        <v>64</v>
      </c>
      <c r="D9" s="5" t="s">
        <v>16</v>
      </c>
      <c r="E9" s="6">
        <v>3</v>
      </c>
      <c r="F9" s="6">
        <v>30</v>
      </c>
      <c r="G9" s="6">
        <f t="shared" ref="G9" si="1">+E9*F9</f>
        <v>90</v>
      </c>
      <c r="H9" s="30" t="s">
        <v>62</v>
      </c>
      <c r="I9" s="16"/>
      <c r="J9" s="5" t="s">
        <v>15</v>
      </c>
      <c r="K9" s="12">
        <v>16672</v>
      </c>
      <c r="L9" s="11">
        <v>18166</v>
      </c>
      <c r="M9" s="11"/>
    </row>
    <row r="10" spans="1:17" ht="14.45" customHeight="1" x14ac:dyDescent="0.15">
      <c r="A10" s="4">
        <v>46189</v>
      </c>
      <c r="B10" s="17">
        <v>2483</v>
      </c>
      <c r="C10" s="5" t="s">
        <v>61</v>
      </c>
      <c r="D10" s="5" t="s">
        <v>16</v>
      </c>
      <c r="E10" s="6">
        <v>8</v>
      </c>
      <c r="F10" s="6">
        <v>30</v>
      </c>
      <c r="G10" s="6">
        <f t="shared" si="0"/>
        <v>240</v>
      </c>
      <c r="H10" s="30" t="s">
        <v>62</v>
      </c>
      <c r="I10" s="16"/>
      <c r="J10" s="5" t="s">
        <v>15</v>
      </c>
      <c r="K10" s="12">
        <v>16674</v>
      </c>
      <c r="L10" s="11">
        <v>18149</v>
      </c>
      <c r="M10" s="11"/>
    </row>
    <row r="11" spans="1:17" ht="14.45" customHeight="1" x14ac:dyDescent="0.15">
      <c r="A11" s="4">
        <v>46189</v>
      </c>
      <c r="B11" s="17">
        <v>38554</v>
      </c>
      <c r="C11" s="5" t="s">
        <v>9</v>
      </c>
      <c r="D11" s="5" t="s">
        <v>10</v>
      </c>
      <c r="E11" s="6">
        <v>14</v>
      </c>
      <c r="F11" s="6">
        <v>11.33</v>
      </c>
      <c r="G11" s="6">
        <f t="shared" si="0"/>
        <v>158.62</v>
      </c>
      <c r="H11" s="30" t="s">
        <v>23</v>
      </c>
      <c r="I11" s="16" t="s">
        <v>34</v>
      </c>
      <c r="J11" s="5" t="s">
        <v>60</v>
      </c>
      <c r="K11" s="12">
        <v>833</v>
      </c>
      <c r="L11" s="11">
        <v>23721</v>
      </c>
      <c r="M11" s="11"/>
    </row>
    <row r="12" spans="1:17" ht="14.45" customHeight="1" x14ac:dyDescent="0.15">
      <c r="A12" s="4">
        <v>46189</v>
      </c>
      <c r="B12" s="17">
        <v>38551</v>
      </c>
      <c r="C12" s="5" t="s">
        <v>9</v>
      </c>
      <c r="D12" s="5" t="s">
        <v>18</v>
      </c>
      <c r="E12" s="6">
        <v>1</v>
      </c>
      <c r="F12" s="6">
        <v>50.5</v>
      </c>
      <c r="G12" s="6">
        <f t="shared" si="0"/>
        <v>50.5</v>
      </c>
      <c r="H12" s="30" t="s">
        <v>19</v>
      </c>
      <c r="I12" s="16" t="s">
        <v>34</v>
      </c>
      <c r="J12" s="5" t="s">
        <v>60</v>
      </c>
      <c r="K12" s="12">
        <v>16329</v>
      </c>
      <c r="L12" s="11">
        <v>18148</v>
      </c>
      <c r="M12" s="11"/>
    </row>
    <row r="13" spans="1:17" ht="14.45" customHeight="1" x14ac:dyDescent="0.15">
      <c r="A13" s="4">
        <v>46189</v>
      </c>
      <c r="B13" s="17">
        <v>38556</v>
      </c>
      <c r="C13" s="5" t="s">
        <v>9</v>
      </c>
      <c r="D13" s="5" t="s">
        <v>18</v>
      </c>
      <c r="E13" s="6">
        <v>1</v>
      </c>
      <c r="F13" s="6">
        <v>50.5</v>
      </c>
      <c r="G13" s="6">
        <f t="shared" si="0"/>
        <v>50.5</v>
      </c>
      <c r="H13" s="30" t="s">
        <v>19</v>
      </c>
      <c r="I13" s="16" t="s">
        <v>34</v>
      </c>
      <c r="J13" s="5" t="s">
        <v>60</v>
      </c>
      <c r="K13" s="12">
        <v>16329</v>
      </c>
      <c r="L13" s="11">
        <v>18148</v>
      </c>
      <c r="M13" s="11"/>
    </row>
    <row r="14" spans="1:17" ht="14.45" customHeight="1" x14ac:dyDescent="0.15">
      <c r="A14" s="4">
        <v>46189</v>
      </c>
      <c r="B14" s="17">
        <v>38555</v>
      </c>
      <c r="C14" s="5" t="s">
        <v>24</v>
      </c>
      <c r="D14" s="5" t="s">
        <v>10</v>
      </c>
      <c r="E14" s="6">
        <v>14</v>
      </c>
      <c r="F14" s="6">
        <v>16.29</v>
      </c>
      <c r="G14" s="6">
        <f t="shared" si="0"/>
        <v>228.06</v>
      </c>
      <c r="H14" s="30" t="s">
        <v>20</v>
      </c>
      <c r="I14" s="16" t="s">
        <v>34</v>
      </c>
      <c r="J14" s="5" t="s">
        <v>60</v>
      </c>
      <c r="K14" s="12">
        <v>833</v>
      </c>
      <c r="L14" s="11">
        <v>23721</v>
      </c>
      <c r="M14" s="11"/>
    </row>
    <row r="15" spans="1:17" ht="14.45" customHeight="1" x14ac:dyDescent="0.15">
      <c r="A15" s="4">
        <v>46189</v>
      </c>
      <c r="B15" s="17">
        <v>38442</v>
      </c>
      <c r="C15" s="5" t="s">
        <v>11</v>
      </c>
      <c r="D15" s="5" t="s">
        <v>18</v>
      </c>
      <c r="E15" s="6">
        <v>1</v>
      </c>
      <c r="F15" s="6">
        <v>50.5</v>
      </c>
      <c r="G15" s="6">
        <f t="shared" si="0"/>
        <v>50.5</v>
      </c>
      <c r="H15" s="30" t="s">
        <v>19</v>
      </c>
      <c r="I15" s="16"/>
      <c r="J15" s="5" t="s">
        <v>15</v>
      </c>
      <c r="K15" s="12"/>
      <c r="L15" s="11"/>
      <c r="M15" s="11"/>
    </row>
    <row r="16" spans="1:17" ht="14.45" customHeight="1" x14ac:dyDescent="0.15">
      <c r="A16" s="4">
        <v>46189</v>
      </c>
      <c r="B16" s="17">
        <v>38444</v>
      </c>
      <c r="C16" s="5" t="s">
        <v>11</v>
      </c>
      <c r="D16" s="5" t="s">
        <v>18</v>
      </c>
      <c r="E16" s="6">
        <v>1</v>
      </c>
      <c r="F16" s="6">
        <v>50.5</v>
      </c>
      <c r="G16" s="6">
        <f t="shared" si="0"/>
        <v>50.5</v>
      </c>
      <c r="H16" s="30" t="s">
        <v>19</v>
      </c>
      <c r="I16" s="16"/>
      <c r="J16" s="5" t="s">
        <v>15</v>
      </c>
      <c r="K16" s="12"/>
      <c r="L16" s="11"/>
      <c r="M16" s="11"/>
    </row>
    <row r="17" spans="1:13" ht="14.45" customHeight="1" x14ac:dyDescent="0.15">
      <c r="A17" s="4">
        <v>46189</v>
      </c>
      <c r="B17" s="17">
        <v>38445</v>
      </c>
      <c r="C17" s="5" t="s">
        <v>11</v>
      </c>
      <c r="D17" s="5" t="s">
        <v>10</v>
      </c>
      <c r="E17" s="6">
        <v>14</v>
      </c>
      <c r="F17" s="6">
        <v>11.33</v>
      </c>
      <c r="G17" s="6">
        <f t="shared" si="0"/>
        <v>158.62</v>
      </c>
      <c r="H17" s="30" t="s">
        <v>23</v>
      </c>
      <c r="I17" s="16"/>
      <c r="J17" s="5" t="s">
        <v>15</v>
      </c>
      <c r="K17" s="12">
        <v>808</v>
      </c>
      <c r="L17" s="11">
        <v>23718</v>
      </c>
      <c r="M17" s="11"/>
    </row>
    <row r="18" spans="1:13" ht="14.45" customHeight="1" x14ac:dyDescent="0.15">
      <c r="A18" s="4">
        <v>46189</v>
      </c>
      <c r="B18" s="17">
        <v>38441</v>
      </c>
      <c r="C18" s="5" t="s">
        <v>11</v>
      </c>
      <c r="D18" s="5" t="s">
        <v>10</v>
      </c>
      <c r="E18" s="6">
        <v>14</v>
      </c>
      <c r="F18" s="6">
        <v>16.29</v>
      </c>
      <c r="G18" s="6">
        <f t="shared" si="0"/>
        <v>228.06</v>
      </c>
      <c r="H18" s="30" t="s">
        <v>20</v>
      </c>
      <c r="I18" s="16"/>
      <c r="J18" s="5" t="s">
        <v>15</v>
      </c>
      <c r="K18" s="12">
        <v>808</v>
      </c>
      <c r="L18" s="11">
        <v>23718</v>
      </c>
      <c r="M18" s="11"/>
    </row>
    <row r="19" spans="1:13" ht="14.45" customHeight="1" x14ac:dyDescent="0.15">
      <c r="A19" s="4">
        <v>46189</v>
      </c>
      <c r="B19" s="17">
        <v>38443</v>
      </c>
      <c r="C19" s="5" t="s">
        <v>11</v>
      </c>
      <c r="D19" s="5" t="s">
        <v>10</v>
      </c>
      <c r="E19" s="6">
        <v>14</v>
      </c>
      <c r="F19" s="6">
        <v>16.27</v>
      </c>
      <c r="G19" s="6">
        <f t="shared" si="0"/>
        <v>227.78</v>
      </c>
      <c r="H19" s="30" t="s">
        <v>17</v>
      </c>
      <c r="I19" s="16"/>
      <c r="J19" s="5" t="s">
        <v>15</v>
      </c>
      <c r="K19" s="12">
        <v>808</v>
      </c>
      <c r="L19" s="11">
        <v>23718</v>
      </c>
      <c r="M19" s="11"/>
    </row>
    <row r="20" spans="1:13" ht="14.45" customHeight="1" x14ac:dyDescent="0.15">
      <c r="A20" s="4">
        <v>46190</v>
      </c>
      <c r="B20" s="17">
        <v>2485</v>
      </c>
      <c r="C20" s="5" t="s">
        <v>61</v>
      </c>
      <c r="D20" s="5" t="s">
        <v>16</v>
      </c>
      <c r="E20" s="6">
        <v>8</v>
      </c>
      <c r="F20" s="6">
        <v>30</v>
      </c>
      <c r="G20" s="6">
        <f t="shared" ref="G20" si="2">+E20*F20</f>
        <v>240</v>
      </c>
      <c r="H20" s="30" t="s">
        <v>62</v>
      </c>
      <c r="I20" s="16"/>
      <c r="J20" s="5" t="s">
        <v>15</v>
      </c>
      <c r="K20" s="12">
        <v>16672</v>
      </c>
      <c r="L20" s="11">
        <v>18166</v>
      </c>
      <c r="M20" s="11"/>
    </row>
    <row r="21" spans="1:13" ht="14.45" customHeight="1" x14ac:dyDescent="0.15">
      <c r="A21" s="4">
        <v>46190</v>
      </c>
      <c r="B21" s="17">
        <v>38448</v>
      </c>
      <c r="C21" s="5" t="s">
        <v>11</v>
      </c>
      <c r="D21" s="5" t="s">
        <v>10</v>
      </c>
      <c r="E21" s="6">
        <v>14</v>
      </c>
      <c r="F21" s="6">
        <v>16.29</v>
      </c>
      <c r="G21" s="6">
        <f t="shared" si="0"/>
        <v>228.06</v>
      </c>
      <c r="H21" s="30" t="s">
        <v>20</v>
      </c>
      <c r="I21" s="16"/>
      <c r="J21" s="5" t="s">
        <v>15</v>
      </c>
      <c r="K21" s="12">
        <v>810</v>
      </c>
      <c r="L21" s="11">
        <v>23719</v>
      </c>
      <c r="M21" s="11"/>
    </row>
    <row r="22" spans="1:13" ht="14.45" customHeight="1" x14ac:dyDescent="0.15">
      <c r="A22" s="4">
        <v>46190</v>
      </c>
      <c r="B22" s="17">
        <v>38447</v>
      </c>
      <c r="C22" s="5" t="s">
        <v>11</v>
      </c>
      <c r="D22" s="5" t="s">
        <v>10</v>
      </c>
      <c r="E22" s="6">
        <v>14</v>
      </c>
      <c r="F22" s="6">
        <v>5.35</v>
      </c>
      <c r="G22" s="6">
        <f t="shared" si="0"/>
        <v>74.899999999999991</v>
      </c>
      <c r="H22" s="30" t="s">
        <v>21</v>
      </c>
      <c r="I22" s="16"/>
      <c r="J22" s="5" t="s">
        <v>15</v>
      </c>
      <c r="K22" s="12"/>
      <c r="L22" s="11"/>
      <c r="M22" s="11"/>
    </row>
    <row r="23" spans="1:13" ht="14.45" customHeight="1" x14ac:dyDescent="0.15">
      <c r="A23" s="4">
        <v>46190</v>
      </c>
      <c r="B23" s="17">
        <v>38446</v>
      </c>
      <c r="C23" s="5" t="s">
        <v>11</v>
      </c>
      <c r="D23" s="5" t="s">
        <v>18</v>
      </c>
      <c r="E23" s="6">
        <v>1</v>
      </c>
      <c r="F23" s="6">
        <v>50.5</v>
      </c>
      <c r="G23" s="6">
        <f t="shared" si="0"/>
        <v>50.5</v>
      </c>
      <c r="H23" s="30" t="s">
        <v>19</v>
      </c>
      <c r="I23" s="16"/>
      <c r="J23" s="5" t="s">
        <v>15</v>
      </c>
      <c r="K23" s="12">
        <v>810</v>
      </c>
      <c r="L23" s="11">
        <v>23719</v>
      </c>
      <c r="M23" s="11"/>
    </row>
    <row r="24" spans="1:13" ht="14.45" customHeight="1" x14ac:dyDescent="0.15">
      <c r="A24" s="4">
        <v>46191</v>
      </c>
      <c r="B24" s="17">
        <v>38604</v>
      </c>
      <c r="C24" s="5" t="s">
        <v>28</v>
      </c>
      <c r="D24" s="5" t="s">
        <v>16</v>
      </c>
      <c r="E24" s="6">
        <v>8</v>
      </c>
      <c r="F24" s="6">
        <v>29.7</v>
      </c>
      <c r="G24" s="6">
        <f t="shared" si="0"/>
        <v>237.6</v>
      </c>
      <c r="H24" s="30" t="s">
        <v>65</v>
      </c>
      <c r="I24" s="16"/>
      <c r="J24" s="5" t="s">
        <v>15</v>
      </c>
      <c r="K24" s="12"/>
      <c r="L24" s="11"/>
      <c r="M24" s="11"/>
    </row>
    <row r="25" spans="1:13" ht="14.45" customHeight="1" x14ac:dyDescent="0.15">
      <c r="A25" s="4">
        <v>46191</v>
      </c>
      <c r="B25" s="17">
        <v>38557</v>
      </c>
      <c r="C25" s="5" t="s">
        <v>9</v>
      </c>
      <c r="D25" s="5" t="s">
        <v>18</v>
      </c>
      <c r="E25" s="6">
        <v>1</v>
      </c>
      <c r="F25" s="6">
        <v>50.5</v>
      </c>
      <c r="G25" s="6">
        <f t="shared" si="0"/>
        <v>50.5</v>
      </c>
      <c r="H25" s="30" t="s">
        <v>19</v>
      </c>
      <c r="I25" s="16"/>
      <c r="J25" s="5" t="s">
        <v>15</v>
      </c>
      <c r="K25" s="12"/>
      <c r="L25" s="11"/>
      <c r="M25" s="11"/>
    </row>
    <row r="26" spans="1:13" ht="14.45" customHeight="1" x14ac:dyDescent="0.15">
      <c r="A26" s="4">
        <v>46191</v>
      </c>
      <c r="B26" s="17">
        <v>38451</v>
      </c>
      <c r="C26" s="5" t="s">
        <v>11</v>
      </c>
      <c r="D26" s="5" t="s">
        <v>18</v>
      </c>
      <c r="E26" s="6">
        <v>1</v>
      </c>
      <c r="F26" s="6">
        <v>50.5</v>
      </c>
      <c r="G26" s="6">
        <f t="shared" ref="G26:G29" si="3">+E26*F26</f>
        <v>50.5</v>
      </c>
      <c r="H26" s="30" t="s">
        <v>19</v>
      </c>
      <c r="I26" s="16"/>
      <c r="J26" s="5" t="s">
        <v>15</v>
      </c>
      <c r="K26" s="12"/>
      <c r="L26" s="11"/>
      <c r="M26" s="11"/>
    </row>
    <row r="27" spans="1:13" ht="14.45" customHeight="1" x14ac:dyDescent="0.15">
      <c r="A27" s="4">
        <v>46191</v>
      </c>
      <c r="B27" s="17">
        <v>38450</v>
      </c>
      <c r="C27" s="5" t="s">
        <v>11</v>
      </c>
      <c r="D27" s="5" t="s">
        <v>10</v>
      </c>
      <c r="E27" s="6">
        <v>14</v>
      </c>
      <c r="F27" s="6">
        <v>16.29</v>
      </c>
      <c r="G27" s="6">
        <f t="shared" si="3"/>
        <v>228.06</v>
      </c>
      <c r="H27" s="30" t="s">
        <v>20</v>
      </c>
      <c r="I27" s="16"/>
      <c r="J27" s="5" t="s">
        <v>15</v>
      </c>
      <c r="K27" s="12">
        <v>809</v>
      </c>
      <c r="L27" s="11">
        <v>23726</v>
      </c>
      <c r="M27" s="11"/>
    </row>
    <row r="28" spans="1:13" ht="14.45" customHeight="1" x14ac:dyDescent="0.15">
      <c r="A28" s="4">
        <v>46191</v>
      </c>
      <c r="B28" s="17">
        <v>2486</v>
      </c>
      <c r="C28" s="5" t="s">
        <v>61</v>
      </c>
      <c r="D28" s="5" t="s">
        <v>16</v>
      </c>
      <c r="E28" s="6">
        <v>8</v>
      </c>
      <c r="F28" s="6">
        <v>30</v>
      </c>
      <c r="G28" s="6">
        <f t="shared" si="3"/>
        <v>240</v>
      </c>
      <c r="H28" s="30" t="s">
        <v>62</v>
      </c>
      <c r="I28" s="16"/>
      <c r="J28" s="5" t="s">
        <v>15</v>
      </c>
      <c r="K28" s="12">
        <v>16672</v>
      </c>
      <c r="L28" s="11">
        <v>18166</v>
      </c>
      <c r="M28" s="11"/>
    </row>
    <row r="29" spans="1:13" ht="14.45" customHeight="1" x14ac:dyDescent="0.15">
      <c r="A29" s="4">
        <v>46192</v>
      </c>
      <c r="B29" s="17">
        <v>38454</v>
      </c>
      <c r="C29" s="5" t="s">
        <v>11</v>
      </c>
      <c r="D29" s="5" t="s">
        <v>10</v>
      </c>
      <c r="E29" s="6">
        <v>14</v>
      </c>
      <c r="F29" s="6">
        <v>16.27</v>
      </c>
      <c r="G29" s="6">
        <f t="shared" si="3"/>
        <v>227.78</v>
      </c>
      <c r="H29" s="30" t="s">
        <v>17</v>
      </c>
      <c r="I29" s="16"/>
      <c r="J29" s="5" t="s">
        <v>15</v>
      </c>
      <c r="K29" s="12"/>
      <c r="L29" s="11"/>
      <c r="M29" s="11"/>
    </row>
    <row r="30" spans="1:13" ht="14.45" customHeight="1" x14ac:dyDescent="0.15">
      <c r="A30" s="4">
        <v>46192</v>
      </c>
      <c r="B30" s="17">
        <v>38455</v>
      </c>
      <c r="C30" s="5" t="s">
        <v>11</v>
      </c>
      <c r="D30" s="5" t="s">
        <v>18</v>
      </c>
      <c r="E30" s="6">
        <v>1</v>
      </c>
      <c r="F30" s="6">
        <v>50.5</v>
      </c>
      <c r="G30" s="6">
        <f t="shared" ref="G30" si="4">+E30*F30</f>
        <v>50.5</v>
      </c>
      <c r="H30" s="30" t="s">
        <v>19</v>
      </c>
      <c r="I30" s="16"/>
      <c r="J30" s="5" t="s">
        <v>15</v>
      </c>
      <c r="K30" s="12"/>
      <c r="L30" s="11"/>
      <c r="M30" s="11"/>
    </row>
    <row r="31" spans="1:13" ht="14.45" customHeight="1" x14ac:dyDescent="0.15">
      <c r="A31" s="4">
        <v>46192</v>
      </c>
      <c r="B31" s="17">
        <v>38457</v>
      </c>
      <c r="C31" s="5" t="s">
        <v>11</v>
      </c>
      <c r="D31" s="5" t="s">
        <v>10</v>
      </c>
      <c r="E31" s="6">
        <v>14</v>
      </c>
      <c r="F31" s="6">
        <v>11.33</v>
      </c>
      <c r="G31" s="6">
        <f t="shared" ref="G31:G36" si="5">+E31*F31</f>
        <v>158.62</v>
      </c>
      <c r="H31" s="30" t="s">
        <v>23</v>
      </c>
      <c r="I31" s="16"/>
      <c r="J31" s="5" t="s">
        <v>15</v>
      </c>
      <c r="K31" s="12"/>
      <c r="L31" s="11"/>
      <c r="M31" s="11"/>
    </row>
    <row r="32" spans="1:13" ht="14.45" customHeight="1" x14ac:dyDescent="0.15">
      <c r="A32" s="4">
        <v>46193</v>
      </c>
      <c r="B32" s="17">
        <v>38459</v>
      </c>
      <c r="C32" s="5" t="s">
        <v>11</v>
      </c>
      <c r="D32" s="5" t="s">
        <v>10</v>
      </c>
      <c r="E32" s="6">
        <v>14</v>
      </c>
      <c r="F32" s="6">
        <v>5.35</v>
      </c>
      <c r="G32" s="6">
        <f t="shared" ref="G32" si="6">+E32*F32</f>
        <v>74.899999999999991</v>
      </c>
      <c r="H32" s="30" t="s">
        <v>21</v>
      </c>
      <c r="I32" s="16"/>
      <c r="J32" s="5" t="s">
        <v>15</v>
      </c>
      <c r="K32" s="12"/>
      <c r="L32" s="11"/>
      <c r="M32" s="11"/>
    </row>
    <row r="33" spans="1:13" ht="14.45" customHeight="1" x14ac:dyDescent="0.15">
      <c r="A33" s="4">
        <v>46193</v>
      </c>
      <c r="B33" s="17">
        <v>38460</v>
      </c>
      <c r="C33" s="5" t="s">
        <v>11</v>
      </c>
      <c r="D33" s="5" t="s">
        <v>18</v>
      </c>
      <c r="E33" s="6">
        <v>1</v>
      </c>
      <c r="F33" s="6">
        <v>50.5</v>
      </c>
      <c r="G33" s="6">
        <f t="shared" si="5"/>
        <v>50.5</v>
      </c>
      <c r="H33" s="30" t="s">
        <v>19</v>
      </c>
      <c r="I33" s="16"/>
      <c r="J33" s="5" t="s">
        <v>15</v>
      </c>
      <c r="K33" s="12"/>
      <c r="L33" s="11"/>
      <c r="M33" s="11"/>
    </row>
    <row r="34" spans="1:13" ht="14.45" customHeight="1" x14ac:dyDescent="0.15">
      <c r="A34" s="4">
        <v>46193</v>
      </c>
      <c r="B34" s="17">
        <v>38461</v>
      </c>
      <c r="C34" s="5" t="s">
        <v>11</v>
      </c>
      <c r="D34" s="5" t="s">
        <v>10</v>
      </c>
      <c r="E34" s="6">
        <v>14</v>
      </c>
      <c r="F34" s="6">
        <v>16.29</v>
      </c>
      <c r="G34" s="6">
        <f t="shared" si="5"/>
        <v>228.06</v>
      </c>
      <c r="H34" s="30" t="s">
        <v>20</v>
      </c>
      <c r="I34" s="16"/>
      <c r="J34" s="5" t="s">
        <v>15</v>
      </c>
      <c r="K34" s="12"/>
      <c r="L34" s="11"/>
      <c r="M34" s="11"/>
    </row>
    <row r="35" spans="1:13" ht="14.45" customHeight="1" x14ac:dyDescent="0.15">
      <c r="A35" s="4">
        <v>46193</v>
      </c>
      <c r="B35" s="17">
        <v>38561</v>
      </c>
      <c r="C35" s="5" t="s">
        <v>9</v>
      </c>
      <c r="D35" s="5" t="s">
        <v>10</v>
      </c>
      <c r="E35" s="6">
        <v>14</v>
      </c>
      <c r="F35" s="6">
        <v>16.27</v>
      </c>
      <c r="G35" s="6">
        <f t="shared" ref="G35" si="7">+E35*F35</f>
        <v>227.78</v>
      </c>
      <c r="H35" s="30" t="s">
        <v>17</v>
      </c>
      <c r="I35" s="16"/>
      <c r="J35" s="5" t="s">
        <v>15</v>
      </c>
      <c r="K35" s="12"/>
      <c r="L35" s="11"/>
      <c r="M35" s="11"/>
    </row>
    <row r="36" spans="1:13" ht="14.45" customHeight="1" x14ac:dyDescent="0.15">
      <c r="A36" s="4">
        <v>46193</v>
      </c>
      <c r="B36" s="17">
        <v>38563</v>
      </c>
      <c r="C36" s="5" t="s">
        <v>9</v>
      </c>
      <c r="D36" s="5" t="s">
        <v>10</v>
      </c>
      <c r="E36" s="6">
        <v>14</v>
      </c>
      <c r="F36" s="6">
        <v>5.35</v>
      </c>
      <c r="G36" s="6">
        <f t="shared" si="5"/>
        <v>74.899999999999991</v>
      </c>
      <c r="H36" s="30" t="s">
        <v>21</v>
      </c>
      <c r="I36" s="16"/>
      <c r="J36" s="5" t="s">
        <v>15</v>
      </c>
      <c r="K36" s="12"/>
      <c r="L36" s="11"/>
      <c r="M36" s="11"/>
    </row>
    <row r="37" spans="1:13" ht="14.45" customHeight="1" x14ac:dyDescent="0.15">
      <c r="A37" s="7"/>
      <c r="B37" s="7"/>
      <c r="C37" s="7"/>
      <c r="D37" s="7"/>
      <c r="E37" s="7"/>
      <c r="F37" s="7"/>
      <c r="G37" s="8">
        <f>SUM(G5:G36)</f>
        <v>4583.1399999999994</v>
      </c>
      <c r="H37" s="28" t="s">
        <v>63</v>
      </c>
      <c r="I37" s="9"/>
      <c r="J37" s="7"/>
      <c r="K37" s="13"/>
      <c r="L37" s="15"/>
      <c r="M37" s="15"/>
    </row>
    <row r="38" spans="1:13" ht="14.45" customHeight="1" x14ac:dyDescent="0.15">
      <c r="A38" s="4">
        <v>46195</v>
      </c>
      <c r="B38" s="17">
        <v>38606</v>
      </c>
      <c r="C38" s="5" t="s">
        <v>28</v>
      </c>
      <c r="D38" s="5" t="s">
        <v>10</v>
      </c>
      <c r="E38" s="6">
        <v>14</v>
      </c>
      <c r="F38" s="6">
        <v>26.75</v>
      </c>
      <c r="G38" s="6">
        <f t="shared" ref="G38" si="8">+E38*F38</f>
        <v>374.5</v>
      </c>
      <c r="H38" s="30" t="s">
        <v>17</v>
      </c>
      <c r="I38" s="16"/>
      <c r="J38" s="5" t="s">
        <v>22</v>
      </c>
      <c r="K38" s="12"/>
      <c r="L38" s="11"/>
      <c r="M38" s="11"/>
    </row>
    <row r="39" spans="1:13" ht="14.45" customHeight="1" x14ac:dyDescent="0.15">
      <c r="A39" s="4">
        <v>46196</v>
      </c>
      <c r="B39" s="17">
        <v>2487</v>
      </c>
      <c r="C39" s="5" t="s">
        <v>64</v>
      </c>
      <c r="D39" s="5" t="s">
        <v>16</v>
      </c>
      <c r="E39" s="6">
        <v>9</v>
      </c>
      <c r="F39" s="6">
        <v>30</v>
      </c>
      <c r="G39" s="6">
        <f t="shared" ref="G39" si="9">+E39*F39</f>
        <v>270</v>
      </c>
      <c r="H39" s="30" t="s">
        <v>62</v>
      </c>
      <c r="I39" s="16"/>
      <c r="J39" s="5" t="s">
        <v>67</v>
      </c>
      <c r="K39" s="12"/>
      <c r="L39" s="11"/>
      <c r="M39" s="11"/>
    </row>
    <row r="40" spans="1:13" ht="14.45" customHeight="1" x14ac:dyDescent="0.15">
      <c r="A40" s="4">
        <v>46196</v>
      </c>
      <c r="B40" s="17">
        <v>38462</v>
      </c>
      <c r="C40" s="5" t="s">
        <v>11</v>
      </c>
      <c r="D40" s="5" t="s">
        <v>10</v>
      </c>
      <c r="E40" s="6">
        <v>14</v>
      </c>
      <c r="F40" s="6">
        <v>16.29</v>
      </c>
      <c r="G40" s="6">
        <f t="shared" ref="G40:G43" si="10">+E40*F40</f>
        <v>228.06</v>
      </c>
      <c r="H40" s="30" t="s">
        <v>20</v>
      </c>
      <c r="I40" s="16"/>
      <c r="J40" s="5" t="s">
        <v>67</v>
      </c>
      <c r="K40" s="12"/>
      <c r="L40" s="11"/>
      <c r="M40" s="11"/>
    </row>
    <row r="41" spans="1:13" ht="14.45" customHeight="1" x14ac:dyDescent="0.15">
      <c r="A41" s="4">
        <v>46196</v>
      </c>
      <c r="B41" s="17">
        <v>35150</v>
      </c>
      <c r="C41" s="5" t="s">
        <v>9</v>
      </c>
      <c r="D41" s="5" t="s">
        <v>10</v>
      </c>
      <c r="E41" s="6">
        <v>14</v>
      </c>
      <c r="F41" s="6">
        <v>19.27</v>
      </c>
      <c r="G41" s="6">
        <f t="shared" si="10"/>
        <v>269.77999999999997</v>
      </c>
      <c r="H41" s="30" t="s">
        <v>17</v>
      </c>
      <c r="I41" s="16"/>
      <c r="J41" s="5" t="s">
        <v>67</v>
      </c>
      <c r="K41" s="12"/>
      <c r="L41" s="11"/>
      <c r="M41" s="11"/>
    </row>
    <row r="42" spans="1:13" ht="14.45" customHeight="1" x14ac:dyDescent="0.15">
      <c r="A42" s="4">
        <v>46197</v>
      </c>
      <c r="B42" s="17">
        <v>38466</v>
      </c>
      <c r="C42" s="5" t="s">
        <v>11</v>
      </c>
      <c r="D42" s="5" t="s">
        <v>10</v>
      </c>
      <c r="E42" s="6">
        <v>14</v>
      </c>
      <c r="F42" s="6">
        <v>5.35</v>
      </c>
      <c r="G42" s="6">
        <f t="shared" si="10"/>
        <v>74.899999999999991</v>
      </c>
      <c r="H42" s="30" t="s">
        <v>21</v>
      </c>
      <c r="I42" s="16"/>
      <c r="J42" s="5" t="s">
        <v>67</v>
      </c>
      <c r="K42" s="12"/>
      <c r="L42" s="11"/>
      <c r="M42" s="11"/>
    </row>
    <row r="43" spans="1:13" ht="14.45" customHeight="1" x14ac:dyDescent="0.15">
      <c r="A43" s="4">
        <v>46197</v>
      </c>
      <c r="B43" s="17">
        <v>38467</v>
      </c>
      <c r="C43" s="5" t="s">
        <v>11</v>
      </c>
      <c r="D43" s="5" t="s">
        <v>10</v>
      </c>
      <c r="E43" s="6">
        <v>14</v>
      </c>
      <c r="F43" s="6">
        <v>11.33</v>
      </c>
      <c r="G43" s="6">
        <f t="shared" si="10"/>
        <v>158.62</v>
      </c>
      <c r="H43" s="30" t="s">
        <v>23</v>
      </c>
      <c r="I43" s="16"/>
      <c r="J43" s="5" t="s">
        <v>67</v>
      </c>
      <c r="K43" s="12"/>
      <c r="L43" s="11"/>
      <c r="M43" s="11"/>
    </row>
    <row r="44" spans="1:13" ht="14.45" customHeight="1" x14ac:dyDescent="0.15">
      <c r="A44" s="4">
        <v>46197</v>
      </c>
      <c r="B44" s="17">
        <v>38468</v>
      </c>
      <c r="C44" s="5" t="s">
        <v>11</v>
      </c>
      <c r="D44" s="5" t="s">
        <v>10</v>
      </c>
      <c r="E44" s="6">
        <v>14</v>
      </c>
      <c r="F44" s="6">
        <v>16.29</v>
      </c>
      <c r="G44" s="6">
        <f t="shared" ref="G44:G47" si="11">+E44*F44</f>
        <v>228.06</v>
      </c>
      <c r="H44" s="30" t="s">
        <v>20</v>
      </c>
      <c r="I44" s="16"/>
      <c r="J44" s="5" t="s">
        <v>67</v>
      </c>
      <c r="K44" s="12"/>
      <c r="L44" s="11"/>
      <c r="M44" s="11"/>
    </row>
    <row r="45" spans="1:13" ht="14.45" customHeight="1" x14ac:dyDescent="0.15">
      <c r="A45" s="4">
        <v>46198</v>
      </c>
      <c r="B45" s="17"/>
      <c r="C45" s="5" t="s">
        <v>61</v>
      </c>
      <c r="D45" s="5" t="s">
        <v>16</v>
      </c>
      <c r="E45" s="6">
        <v>8</v>
      </c>
      <c r="F45" s="6">
        <v>30</v>
      </c>
      <c r="G45" s="6">
        <f t="shared" si="11"/>
        <v>240</v>
      </c>
      <c r="H45" s="30" t="s">
        <v>62</v>
      </c>
      <c r="I45" s="16"/>
      <c r="J45" s="5" t="s">
        <v>67</v>
      </c>
      <c r="K45" s="12"/>
      <c r="L45" s="11"/>
      <c r="M45" s="11"/>
    </row>
    <row r="46" spans="1:13" ht="14.45" customHeight="1" x14ac:dyDescent="0.15">
      <c r="A46" s="4">
        <v>46198</v>
      </c>
      <c r="B46" s="17">
        <v>38572</v>
      </c>
      <c r="C46" s="5" t="s">
        <v>9</v>
      </c>
      <c r="D46" s="5" t="s">
        <v>10</v>
      </c>
      <c r="E46" s="6">
        <v>14</v>
      </c>
      <c r="F46" s="6">
        <v>5.35</v>
      </c>
      <c r="G46" s="6">
        <f t="shared" si="11"/>
        <v>74.899999999999991</v>
      </c>
      <c r="H46" s="30" t="s">
        <v>21</v>
      </c>
      <c r="I46" s="16"/>
      <c r="J46" s="5" t="s">
        <v>67</v>
      </c>
      <c r="K46" s="12"/>
      <c r="L46" s="11"/>
      <c r="M46" s="11"/>
    </row>
    <row r="47" spans="1:13" ht="14.45" customHeight="1" x14ac:dyDescent="0.15">
      <c r="A47" s="4">
        <v>46198</v>
      </c>
      <c r="B47" s="17">
        <v>38573</v>
      </c>
      <c r="C47" s="5" t="s">
        <v>9</v>
      </c>
      <c r="D47" s="5" t="s">
        <v>10</v>
      </c>
      <c r="E47" s="6">
        <v>14</v>
      </c>
      <c r="F47" s="6">
        <v>16.27</v>
      </c>
      <c r="G47" s="6">
        <f t="shared" si="11"/>
        <v>227.78</v>
      </c>
      <c r="H47" s="30" t="s">
        <v>17</v>
      </c>
      <c r="I47" s="16"/>
      <c r="J47" s="5" t="s">
        <v>67</v>
      </c>
      <c r="K47" s="12"/>
      <c r="L47" s="11"/>
      <c r="M47" s="11"/>
    </row>
    <row r="48" spans="1:13" ht="14.45" customHeight="1" x14ac:dyDescent="0.15">
      <c r="A48" s="4">
        <v>46199</v>
      </c>
      <c r="B48" s="17">
        <v>34960</v>
      </c>
      <c r="C48" s="5" t="s">
        <v>12</v>
      </c>
      <c r="D48" s="5" t="s">
        <v>10</v>
      </c>
      <c r="E48" s="6">
        <v>14</v>
      </c>
      <c r="F48" s="6">
        <v>5.35</v>
      </c>
      <c r="G48" s="6">
        <f t="shared" ref="G48:G56" si="12">+E48*F48</f>
        <v>74.899999999999991</v>
      </c>
      <c r="H48" s="30" t="s">
        <v>21</v>
      </c>
      <c r="I48" s="16" t="s">
        <v>48</v>
      </c>
      <c r="J48" s="5" t="s">
        <v>29</v>
      </c>
      <c r="K48" s="12"/>
      <c r="L48" s="11"/>
      <c r="M48" s="11"/>
    </row>
    <row r="49" spans="1:13" ht="14.45" customHeight="1" x14ac:dyDescent="0.15">
      <c r="A49" s="4">
        <v>46199</v>
      </c>
      <c r="B49" s="17">
        <v>38579</v>
      </c>
      <c r="C49" s="5" t="s">
        <v>9</v>
      </c>
      <c r="D49" s="5" t="s">
        <v>18</v>
      </c>
      <c r="E49" s="6">
        <v>1</v>
      </c>
      <c r="F49" s="6">
        <v>50.5</v>
      </c>
      <c r="G49" s="6">
        <f t="shared" si="12"/>
        <v>50.5</v>
      </c>
      <c r="H49" s="30" t="s">
        <v>19</v>
      </c>
      <c r="I49" s="16" t="s">
        <v>48</v>
      </c>
      <c r="J49" s="5" t="s">
        <v>29</v>
      </c>
      <c r="K49" s="12"/>
      <c r="L49" s="11"/>
      <c r="M49" s="11"/>
    </row>
    <row r="50" spans="1:13" ht="14.45" customHeight="1" x14ac:dyDescent="0.15">
      <c r="A50" s="4">
        <v>46199</v>
      </c>
      <c r="B50" s="17">
        <v>38578</v>
      </c>
      <c r="C50" s="5" t="s">
        <v>9</v>
      </c>
      <c r="D50" s="5" t="s">
        <v>10</v>
      </c>
      <c r="E50" s="6">
        <v>14</v>
      </c>
      <c r="F50" s="6">
        <v>11.33</v>
      </c>
      <c r="G50" s="6">
        <f t="shared" si="12"/>
        <v>158.62</v>
      </c>
      <c r="H50" s="30" t="s">
        <v>23</v>
      </c>
      <c r="I50" s="16"/>
      <c r="J50" s="5" t="s">
        <v>67</v>
      </c>
      <c r="K50" s="12"/>
      <c r="L50" s="11"/>
      <c r="M50" s="11"/>
    </row>
    <row r="51" spans="1:13" ht="14.45" customHeight="1" x14ac:dyDescent="0.15">
      <c r="A51" s="4">
        <v>46199</v>
      </c>
      <c r="B51" s="17">
        <v>38576</v>
      </c>
      <c r="C51" s="5" t="s">
        <v>9</v>
      </c>
      <c r="D51" s="5" t="s">
        <v>10</v>
      </c>
      <c r="E51" s="6">
        <v>14</v>
      </c>
      <c r="F51" s="6">
        <v>5.35</v>
      </c>
      <c r="G51" s="6">
        <f t="shared" si="12"/>
        <v>74.899999999999991</v>
      </c>
      <c r="H51" s="30" t="s">
        <v>21</v>
      </c>
      <c r="I51" s="16"/>
      <c r="J51" s="5" t="s">
        <v>67</v>
      </c>
      <c r="K51" s="12"/>
      <c r="L51" s="11"/>
      <c r="M51" s="11"/>
    </row>
    <row r="52" spans="1:13" ht="14.45" customHeight="1" x14ac:dyDescent="0.15">
      <c r="A52" s="4">
        <v>46199</v>
      </c>
      <c r="B52" s="17">
        <v>38577</v>
      </c>
      <c r="C52" s="5" t="s">
        <v>9</v>
      </c>
      <c r="D52" s="5" t="s">
        <v>18</v>
      </c>
      <c r="E52" s="6">
        <v>1</v>
      </c>
      <c r="F52" s="6">
        <v>50.5</v>
      </c>
      <c r="G52" s="6">
        <f t="shared" si="12"/>
        <v>50.5</v>
      </c>
      <c r="H52" s="30" t="s">
        <v>19</v>
      </c>
      <c r="I52" s="16"/>
      <c r="J52" s="5" t="s">
        <v>67</v>
      </c>
      <c r="K52" s="12"/>
      <c r="L52" s="11"/>
      <c r="M52" s="11"/>
    </row>
    <row r="53" spans="1:13" ht="14.45" customHeight="1" x14ac:dyDescent="0.15">
      <c r="A53" s="4">
        <v>46199</v>
      </c>
      <c r="B53" s="17">
        <v>38580</v>
      </c>
      <c r="C53" s="5" t="s">
        <v>9</v>
      </c>
      <c r="D53" s="5" t="s">
        <v>10</v>
      </c>
      <c r="E53" s="6">
        <v>14</v>
      </c>
      <c r="F53" s="6">
        <v>16.29</v>
      </c>
      <c r="G53" s="6">
        <f t="shared" si="12"/>
        <v>228.06</v>
      </c>
      <c r="H53" s="30" t="s">
        <v>20</v>
      </c>
      <c r="I53" s="16"/>
      <c r="J53" s="5" t="s">
        <v>67</v>
      </c>
      <c r="K53" s="12"/>
      <c r="L53" s="11"/>
      <c r="M53" s="11"/>
    </row>
    <row r="54" spans="1:13" ht="14.45" customHeight="1" x14ac:dyDescent="0.15">
      <c r="A54" s="4">
        <v>46200</v>
      </c>
      <c r="B54" s="17">
        <v>38581</v>
      </c>
      <c r="C54" s="5" t="s">
        <v>9</v>
      </c>
      <c r="D54" s="5" t="s">
        <v>10</v>
      </c>
      <c r="E54" s="6">
        <v>14</v>
      </c>
      <c r="F54" s="6">
        <v>16.27</v>
      </c>
      <c r="G54" s="6">
        <f t="shared" si="12"/>
        <v>227.78</v>
      </c>
      <c r="H54" s="30" t="s">
        <v>17</v>
      </c>
      <c r="I54" s="16"/>
      <c r="J54" s="5" t="s">
        <v>67</v>
      </c>
      <c r="K54" s="12"/>
      <c r="L54" s="11"/>
      <c r="M54" s="11"/>
    </row>
    <row r="55" spans="1:13" ht="14.45" customHeight="1" x14ac:dyDescent="0.15">
      <c r="A55" s="4">
        <v>46200</v>
      </c>
      <c r="B55" s="17">
        <v>38582</v>
      </c>
      <c r="C55" s="5" t="s">
        <v>9</v>
      </c>
      <c r="D55" s="5" t="s">
        <v>18</v>
      </c>
      <c r="E55" s="6">
        <v>1</v>
      </c>
      <c r="F55" s="6">
        <v>50.5</v>
      </c>
      <c r="G55" s="6">
        <f t="shared" si="12"/>
        <v>50.5</v>
      </c>
      <c r="H55" s="30" t="s">
        <v>19</v>
      </c>
      <c r="I55" s="16"/>
      <c r="J55" s="5" t="s">
        <v>67</v>
      </c>
      <c r="K55" s="12"/>
      <c r="L55" s="11"/>
      <c r="M55" s="11"/>
    </row>
    <row r="56" spans="1:13" ht="14.45" customHeight="1" x14ac:dyDescent="0.15">
      <c r="A56" s="4">
        <v>46200</v>
      </c>
      <c r="B56" s="17">
        <v>38583</v>
      </c>
      <c r="C56" s="5" t="s">
        <v>9</v>
      </c>
      <c r="D56" s="5" t="s">
        <v>10</v>
      </c>
      <c r="E56" s="6">
        <v>14</v>
      </c>
      <c r="F56" s="6">
        <v>5.35</v>
      </c>
      <c r="G56" s="6">
        <f t="shared" si="12"/>
        <v>74.899999999999991</v>
      </c>
      <c r="H56" s="30" t="s">
        <v>21</v>
      </c>
      <c r="I56" s="16"/>
      <c r="J56" s="5" t="s">
        <v>67</v>
      </c>
      <c r="K56" s="12"/>
      <c r="L56" s="11"/>
      <c r="M56" s="11"/>
    </row>
    <row r="57" spans="1:13" ht="14.45" customHeight="1" x14ac:dyDescent="0.15">
      <c r="A57" s="7"/>
      <c r="B57" s="7"/>
      <c r="C57" s="7"/>
      <c r="D57" s="7"/>
      <c r="E57" s="7"/>
      <c r="F57" s="7"/>
      <c r="G57" s="8">
        <f>SUM(G38:G56)</f>
        <v>3137.2600000000007</v>
      </c>
      <c r="H57" s="28" t="s">
        <v>66</v>
      </c>
      <c r="I57" s="9"/>
      <c r="J57" s="7"/>
      <c r="K57" s="13"/>
      <c r="L57" s="15"/>
      <c r="M57" s="15"/>
    </row>
    <row r="58" spans="1:13" ht="14.45" customHeight="1" x14ac:dyDescent="0.15">
      <c r="A58" s="4">
        <v>46202</v>
      </c>
      <c r="B58" s="17">
        <v>38479</v>
      </c>
      <c r="C58" s="5" t="s">
        <v>11</v>
      </c>
      <c r="D58" s="5" t="s">
        <v>10</v>
      </c>
      <c r="E58" s="6">
        <v>14</v>
      </c>
      <c r="F58" s="6">
        <v>16.27</v>
      </c>
      <c r="G58" s="6">
        <f t="shared" ref="G58:G61" si="13">+E58*F58</f>
        <v>227.78</v>
      </c>
      <c r="H58" s="30" t="s">
        <v>17</v>
      </c>
      <c r="I58" s="16"/>
      <c r="J58" s="5" t="s">
        <v>67</v>
      </c>
      <c r="K58" s="12"/>
      <c r="L58" s="11"/>
      <c r="M58" s="11"/>
    </row>
    <row r="59" spans="1:13" ht="14.45" customHeight="1" x14ac:dyDescent="0.15">
      <c r="A59" s="4">
        <v>46202</v>
      </c>
      <c r="B59" s="17">
        <v>38480</v>
      </c>
      <c r="C59" s="5" t="s">
        <v>11</v>
      </c>
      <c r="D59" s="5" t="s">
        <v>18</v>
      </c>
      <c r="E59" s="6">
        <v>1</v>
      </c>
      <c r="F59" s="6">
        <v>50.5</v>
      </c>
      <c r="G59" s="6">
        <f t="shared" si="13"/>
        <v>50.5</v>
      </c>
      <c r="H59" s="30" t="s">
        <v>19</v>
      </c>
      <c r="I59" s="16"/>
      <c r="J59" s="5" t="s">
        <v>67</v>
      </c>
      <c r="K59" s="12"/>
      <c r="L59" s="11"/>
      <c r="M59" s="11"/>
    </row>
    <row r="60" spans="1:13" ht="14.45" customHeight="1" x14ac:dyDescent="0.15">
      <c r="A60" s="4">
        <v>46202</v>
      </c>
      <c r="B60" s="17">
        <v>38481</v>
      </c>
      <c r="C60" s="5" t="s">
        <v>11</v>
      </c>
      <c r="D60" s="5" t="s">
        <v>10</v>
      </c>
      <c r="E60" s="6">
        <v>14</v>
      </c>
      <c r="F60" s="6">
        <v>11.33</v>
      </c>
      <c r="G60" s="6">
        <f t="shared" si="13"/>
        <v>158.62</v>
      </c>
      <c r="H60" s="30" t="s">
        <v>23</v>
      </c>
      <c r="I60" s="16"/>
      <c r="J60" s="5" t="s">
        <v>67</v>
      </c>
      <c r="K60" s="12"/>
      <c r="L60" s="11"/>
      <c r="M60" s="11"/>
    </row>
    <row r="61" spans="1:13" ht="14.45" customHeight="1" x14ac:dyDescent="0.15">
      <c r="A61" s="4">
        <v>46202</v>
      </c>
      <c r="B61" s="17">
        <v>38482</v>
      </c>
      <c r="C61" s="5" t="s">
        <v>11</v>
      </c>
      <c r="D61" s="5" t="s">
        <v>10</v>
      </c>
      <c r="E61" s="6">
        <v>14</v>
      </c>
      <c r="F61" s="6">
        <v>16.29</v>
      </c>
      <c r="G61" s="6">
        <f t="shared" si="13"/>
        <v>228.06</v>
      </c>
      <c r="H61" s="30" t="s">
        <v>20</v>
      </c>
      <c r="I61" s="16"/>
      <c r="J61" s="5" t="s">
        <v>67</v>
      </c>
      <c r="K61" s="12"/>
      <c r="L61" s="11"/>
      <c r="M61" s="11"/>
    </row>
    <row r="62" spans="1:13" ht="14.45" customHeight="1" x14ac:dyDescent="0.15">
      <c r="A62" s="7"/>
      <c r="B62" s="7"/>
      <c r="C62" s="7"/>
      <c r="D62" s="7"/>
      <c r="E62" s="7"/>
      <c r="F62" s="7"/>
      <c r="G62" s="8">
        <f>SUM(G58:G61)</f>
        <v>664.96</v>
      </c>
      <c r="H62" s="28" t="s">
        <v>68</v>
      </c>
      <c r="I62" s="9"/>
      <c r="J62" s="7"/>
      <c r="K62" s="13"/>
      <c r="L62" s="15"/>
      <c r="M62" s="15"/>
    </row>
  </sheetData>
  <autoFilter ref="A4:M62" xr:uid="{00000000-0001-0000-0200-000000000000}"/>
  <sortState xmlns:xlrd2="http://schemas.microsoft.com/office/spreadsheetml/2017/richdata2" ref="A48:J53">
    <sortCondition ref="J48:J53"/>
    <sortCondition ref="H48:H53"/>
    <sortCondition ref="C48:C53"/>
    <sortCondition ref="B48:B53"/>
  </sortState>
  <mergeCells count="1">
    <mergeCell ref="A2:E2"/>
  </mergeCells>
  <pageMargins left="0.70866141732283472" right="0.70866141732283472" top="0.74803149606299213" bottom="0.74803149606299213" header="0.31496062992125984" footer="0.31496062992125984"/>
  <pageSetup paperSize="9" scale="6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7C21-8520-42A4-AD96-7B7BBADA1CC8}">
  <dimension ref="A1:Y13"/>
  <sheetViews>
    <sheetView topLeftCell="I1" workbookViewId="0">
      <selection activeCell="O12" sqref="O12"/>
    </sheetView>
  </sheetViews>
  <sheetFormatPr defaultColWidth="10.796875" defaultRowHeight="13.5" x14ac:dyDescent="0.15"/>
  <cols>
    <col min="1" max="1" width="8.99609375" bestFit="1" customWidth="1"/>
    <col min="2" max="2" width="14.3984375" customWidth="1"/>
    <col min="3" max="3" width="7.19921875" bestFit="1" customWidth="1"/>
    <col min="4" max="4" width="14.69921875" bestFit="1" customWidth="1"/>
    <col min="5" max="5" width="8.546875" bestFit="1" customWidth="1"/>
    <col min="6" max="6" width="10.94921875" customWidth="1"/>
  </cols>
  <sheetData>
    <row r="1" spans="1:25" ht="18.75" x14ac:dyDescent="0.15">
      <c r="A1" s="31" t="s">
        <v>47</v>
      </c>
      <c r="B1" s="31"/>
      <c r="C1" s="31"/>
      <c r="D1" s="31"/>
      <c r="E1" s="31"/>
      <c r="I1" s="29" t="s">
        <v>55</v>
      </c>
      <c r="X1">
        <v>14</v>
      </c>
      <c r="Y1">
        <f t="shared" ref="Y1:Y8" si="0">SUM(J1:X1)</f>
        <v>14</v>
      </c>
    </row>
    <row r="2" spans="1:25" x14ac:dyDescent="0.15">
      <c r="I2" s="29" t="s">
        <v>54</v>
      </c>
      <c r="R2">
        <v>14</v>
      </c>
      <c r="Y2">
        <f t="shared" si="0"/>
        <v>14</v>
      </c>
    </row>
    <row r="3" spans="1:25" x14ac:dyDescent="0.1">
      <c r="A3" s="23" t="s">
        <v>41</v>
      </c>
      <c r="B3" s="23" t="s">
        <v>14</v>
      </c>
      <c r="C3" s="23" t="s">
        <v>42</v>
      </c>
      <c r="D3" s="23" t="s">
        <v>43</v>
      </c>
      <c r="E3" s="24" t="s">
        <v>44</v>
      </c>
      <c r="F3" s="25" t="s">
        <v>45</v>
      </c>
      <c r="G3" s="26" t="s">
        <v>46</v>
      </c>
      <c r="I3" s="29" t="s">
        <v>53</v>
      </c>
      <c r="Q3">
        <v>14</v>
      </c>
      <c r="Y3">
        <f t="shared" si="0"/>
        <v>14</v>
      </c>
    </row>
    <row r="4" spans="1:25" x14ac:dyDescent="0.1">
      <c r="A4" s="18">
        <v>45960</v>
      </c>
      <c r="B4" s="19" t="s">
        <v>35</v>
      </c>
      <c r="C4" s="20">
        <v>682</v>
      </c>
      <c r="D4" s="20" t="s">
        <v>36</v>
      </c>
      <c r="E4" s="21" t="s">
        <v>37</v>
      </c>
      <c r="F4" s="27">
        <v>8</v>
      </c>
      <c r="G4" s="22" t="s">
        <v>38</v>
      </c>
      <c r="I4" s="29" t="s">
        <v>49</v>
      </c>
      <c r="J4">
        <v>14</v>
      </c>
      <c r="K4">
        <v>28</v>
      </c>
      <c r="S4">
        <v>14</v>
      </c>
      <c r="T4">
        <v>28</v>
      </c>
      <c r="V4">
        <v>14</v>
      </c>
      <c r="W4">
        <v>28</v>
      </c>
      <c r="Y4">
        <f t="shared" si="0"/>
        <v>126</v>
      </c>
    </row>
    <row r="5" spans="1:25" x14ac:dyDescent="0.1">
      <c r="A5" s="18">
        <v>45961</v>
      </c>
      <c r="B5" s="19" t="s">
        <v>39</v>
      </c>
      <c r="C5" s="20">
        <v>683</v>
      </c>
      <c r="D5" s="20" t="s">
        <v>36</v>
      </c>
      <c r="E5" s="21" t="s">
        <v>37</v>
      </c>
      <c r="F5" s="27">
        <v>9</v>
      </c>
      <c r="G5" s="22" t="s">
        <v>38</v>
      </c>
      <c r="I5" t="s">
        <v>50</v>
      </c>
      <c r="J5">
        <v>28</v>
      </c>
      <c r="K5">
        <v>28</v>
      </c>
      <c r="P5">
        <v>14</v>
      </c>
      <c r="S5">
        <v>28</v>
      </c>
      <c r="T5">
        <v>28</v>
      </c>
      <c r="V5">
        <v>42</v>
      </c>
      <c r="W5">
        <v>56</v>
      </c>
      <c r="Y5">
        <f t="shared" si="0"/>
        <v>224</v>
      </c>
    </row>
    <row r="6" spans="1:25" x14ac:dyDescent="0.1">
      <c r="A6" s="18">
        <v>45966</v>
      </c>
      <c r="B6" s="19" t="s">
        <v>40</v>
      </c>
      <c r="C6" s="20">
        <v>687</v>
      </c>
      <c r="D6" s="20" t="s">
        <v>36</v>
      </c>
      <c r="E6" s="21" t="s">
        <v>37</v>
      </c>
      <c r="F6" s="27">
        <v>8</v>
      </c>
      <c r="G6" s="22" t="s">
        <v>38</v>
      </c>
      <c r="I6" s="29" t="s">
        <v>51</v>
      </c>
      <c r="K6">
        <v>42</v>
      </c>
      <c r="S6">
        <v>42</v>
      </c>
      <c r="T6">
        <v>42</v>
      </c>
      <c r="U6">
        <v>14</v>
      </c>
      <c r="Y6">
        <f t="shared" si="0"/>
        <v>140</v>
      </c>
    </row>
    <row r="7" spans="1:25" x14ac:dyDescent="0.1">
      <c r="A7" s="18">
        <v>45967</v>
      </c>
      <c r="B7" s="19" t="s">
        <v>35</v>
      </c>
      <c r="C7" s="20">
        <v>688</v>
      </c>
      <c r="D7" s="20" t="s">
        <v>36</v>
      </c>
      <c r="E7" s="21" t="s">
        <v>37</v>
      </c>
      <c r="F7" s="27">
        <v>8</v>
      </c>
      <c r="G7" s="22" t="s">
        <v>38</v>
      </c>
      <c r="I7" s="29" t="s">
        <v>52</v>
      </c>
      <c r="L7">
        <v>56</v>
      </c>
      <c r="M7">
        <v>28</v>
      </c>
      <c r="N7">
        <v>28</v>
      </c>
      <c r="O7">
        <v>28</v>
      </c>
      <c r="Y7">
        <f t="shared" si="0"/>
        <v>140</v>
      </c>
    </row>
    <row r="8" spans="1:25" x14ac:dyDescent="0.1">
      <c r="A8" s="18">
        <v>45968</v>
      </c>
      <c r="B8" s="19" t="s">
        <v>39</v>
      </c>
      <c r="C8" s="20">
        <v>689</v>
      </c>
      <c r="D8" s="20" t="s">
        <v>36</v>
      </c>
      <c r="E8" s="21" t="s">
        <v>37</v>
      </c>
      <c r="F8" s="27">
        <v>8</v>
      </c>
      <c r="G8" s="20" t="s">
        <v>38</v>
      </c>
      <c r="I8" s="29" t="s">
        <v>56</v>
      </c>
      <c r="X8">
        <v>14</v>
      </c>
      <c r="Y8">
        <f t="shared" si="0"/>
        <v>14</v>
      </c>
    </row>
    <row r="11" spans="1:25" x14ac:dyDescent="0.15">
      <c r="I11" t="s">
        <v>57</v>
      </c>
      <c r="J11">
        <v>1</v>
      </c>
      <c r="K11">
        <v>7</v>
      </c>
      <c r="L11">
        <v>2</v>
      </c>
      <c r="M11">
        <v>2</v>
      </c>
      <c r="N11">
        <v>2</v>
      </c>
      <c r="O11">
        <v>5</v>
      </c>
      <c r="Y11">
        <f>SUM(J11:X11)</f>
        <v>19</v>
      </c>
    </row>
    <row r="12" spans="1:25" x14ac:dyDescent="0.15">
      <c r="I12" t="s">
        <v>58</v>
      </c>
      <c r="J12">
        <v>33</v>
      </c>
      <c r="K12">
        <v>14.5</v>
      </c>
      <c r="L12">
        <v>16</v>
      </c>
      <c r="M12">
        <v>18</v>
      </c>
      <c r="N12">
        <v>8</v>
      </c>
      <c r="O12">
        <v>8</v>
      </c>
      <c r="Y12">
        <f t="shared" ref="Y12:Y13" si="1">SUM(J12:X12)</f>
        <v>97.5</v>
      </c>
    </row>
    <row r="13" spans="1:25" x14ac:dyDescent="0.15">
      <c r="I13" t="s">
        <v>59</v>
      </c>
      <c r="Y13">
        <f t="shared" si="1"/>
        <v>0</v>
      </c>
    </row>
  </sheetData>
  <mergeCells count="1">
    <mergeCell ref="A1:E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HYDRIAPAC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REPORTES  VOLQUETAS2.xlsx</dc:title>
  <dc:creator>luis garcia</dc:creator>
  <cp:lastModifiedBy>luis garcia</cp:lastModifiedBy>
  <cp:lastPrinted>2026-06-30T03:27:57Z</cp:lastPrinted>
  <dcterms:created xsi:type="dcterms:W3CDTF">2025-05-28T12:43:10Z</dcterms:created>
  <dcterms:modified xsi:type="dcterms:W3CDTF">2026-06-30T14:14:22Z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2025-05-15T00:00:00Z</vt:filetime>
  </property>
  <property fmtid="{D5CDD505-2E9C-101B-9397-08002B2CF9AE}" pid="3" name="LastSaved">
    <vt:filetime>2025-05-28T00:00:00Z</vt:filetime>
  </property>
  <property fmtid="{D5CDD505-2E9C-101B-9397-08002B2CF9AE}" pid="4" name="Producer">
    <vt:lpwstr>Microsoft: Print To PDF</vt:lpwstr>
  </property>
</Properties>
</file>